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aketh B Com CA\Documents\Projects\"/>
    </mc:Choice>
  </mc:AlternateContent>
  <xr:revisionPtr revIDLastSave="0" documentId="13_ncr:1_{F5FF1B45-1559-44C2-8719-BCD3C35C5F0F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Analysis" sheetId="2" r:id="rId1"/>
    <sheet name="Data" sheetId="1" r:id="rId2"/>
    <sheet name="Modific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2" i="3"/>
  <c r="F7" i="2"/>
  <c r="E7" i="2"/>
  <c r="D7" i="2"/>
  <c r="C7" i="2"/>
  <c r="B7" i="2"/>
  <c r="F6" i="2"/>
  <c r="E6" i="2"/>
  <c r="D6" i="2"/>
  <c r="C6" i="2"/>
  <c r="B6" i="2"/>
</calcChain>
</file>

<file path=xl/sharedStrings.xml><?xml version="1.0" encoding="utf-8"?>
<sst xmlns="http://schemas.openxmlformats.org/spreadsheetml/2006/main" count="584" uniqueCount="115">
  <si>
    <t>Year</t>
  </si>
  <si>
    <t>Private Final Consumption Expenditure</t>
  </si>
  <si>
    <t>Government Final Consumption</t>
  </si>
  <si>
    <t>Expenditure</t>
  </si>
  <si>
    <t>Gross Fixed Capital Formation</t>
  </si>
  <si>
    <t>Changes in Stocks</t>
  </si>
  <si>
    <t>Valuables</t>
  </si>
  <si>
    <t>Exports of Goods and Services</t>
  </si>
  <si>
    <t>Import of Goods and Services</t>
  </si>
  <si>
    <t>Discrepancies</t>
  </si>
  <si>
    <t>Gross Domestic Product</t>
  </si>
  <si>
    <t>Constant Prices</t>
  </si>
  <si>
    <t>Current Prices</t>
  </si>
  <si>
    <t>2025-26   </t>
  </si>
  <si>
    <t>2024-25   </t>
  </si>
  <si>
    <t>2023-24   </t>
  </si>
  <si>
    <t>2022-23   </t>
  </si>
  <si>
    <t>2021-22   </t>
  </si>
  <si>
    <t>2020-21   </t>
  </si>
  <si>
    <t>2019-20   </t>
  </si>
  <si>
    <t>2018-19   </t>
  </si>
  <si>
    <t>2017-18   </t>
  </si>
  <si>
    <t>2016-17   </t>
  </si>
  <si>
    <t>2015-16   </t>
  </si>
  <si>
    <t>2014-15   </t>
  </si>
  <si>
    <t>2013-14   </t>
  </si>
  <si>
    <t>2012-13   </t>
  </si>
  <si>
    <t>2011-12   </t>
  </si>
  <si>
    <t>2010-11   </t>
  </si>
  <si>
    <t>2009-10   </t>
  </si>
  <si>
    <t>2008-09   </t>
  </si>
  <si>
    <t>2007-08   </t>
  </si>
  <si>
    <t>2006-07   </t>
  </si>
  <si>
    <t>2005-06   </t>
  </si>
  <si>
    <t>2004-05   </t>
  </si>
  <si>
    <t>-</t>
  </si>
  <si>
    <t>2003-04   </t>
  </si>
  <si>
    <t>2002-03   </t>
  </si>
  <si>
    <t>2001-02   </t>
  </si>
  <si>
    <t>2000-01   </t>
  </si>
  <si>
    <t>1999-00   </t>
  </si>
  <si>
    <t>1998-99   </t>
  </si>
  <si>
    <t>1997-98   </t>
  </si>
  <si>
    <t>1996-97   </t>
  </si>
  <si>
    <t>1995-96   </t>
  </si>
  <si>
    <t>1994-95   </t>
  </si>
  <si>
    <t>1993-94   </t>
  </si>
  <si>
    <t>1992-93   </t>
  </si>
  <si>
    <t>1991-92   </t>
  </si>
  <si>
    <t>1990-91   </t>
  </si>
  <si>
    <t>1989-90   </t>
  </si>
  <si>
    <t>1988-89   </t>
  </si>
  <si>
    <t>1987-88   </t>
  </si>
  <si>
    <t>1986-87   </t>
  </si>
  <si>
    <t>1985-86   </t>
  </si>
  <si>
    <t>1984-85   </t>
  </si>
  <si>
    <t>1983-84   </t>
  </si>
  <si>
    <t>1982-83   </t>
  </si>
  <si>
    <t>1981-82   </t>
  </si>
  <si>
    <t>1980-81   </t>
  </si>
  <si>
    <t>1979-80   </t>
  </si>
  <si>
    <t>1978-79   </t>
  </si>
  <si>
    <t>1977-78   </t>
  </si>
  <si>
    <t>1976-77   </t>
  </si>
  <si>
    <t>1975-76   </t>
  </si>
  <si>
    <t>1974-75   </t>
  </si>
  <si>
    <t>1973-74   </t>
  </si>
  <si>
    <t>1972-73   </t>
  </si>
  <si>
    <t>1971-72   </t>
  </si>
  <si>
    <t>1970-71   </t>
  </si>
  <si>
    <t>1969-70   </t>
  </si>
  <si>
    <t>1968-69   </t>
  </si>
  <si>
    <t>1967-68   </t>
  </si>
  <si>
    <t>1966-67   </t>
  </si>
  <si>
    <t>1965-66   </t>
  </si>
  <si>
    <t>1964-65   </t>
  </si>
  <si>
    <t>1963-64   </t>
  </si>
  <si>
    <t>1962-63   </t>
  </si>
  <si>
    <t>1961-62   </t>
  </si>
  <si>
    <t>1960-61   </t>
  </si>
  <si>
    <t>1959-60   </t>
  </si>
  <si>
    <t>1958-59   </t>
  </si>
  <si>
    <t>1957-58   </t>
  </si>
  <si>
    <t>1956-57   </t>
  </si>
  <si>
    <t>1955-56   </t>
  </si>
  <si>
    <t>1954-55   </t>
  </si>
  <si>
    <t>1953-54   </t>
  </si>
  <si>
    <t>1952-53   </t>
  </si>
  <si>
    <t>1951-52   </t>
  </si>
  <si>
    <t>Indexes</t>
  </si>
  <si>
    <t>Consumption Index</t>
  </si>
  <si>
    <t>Private</t>
  </si>
  <si>
    <t>Constant</t>
  </si>
  <si>
    <t>Current</t>
  </si>
  <si>
    <t>Base Years</t>
  </si>
  <si>
    <t>Government</t>
  </si>
  <si>
    <t>Population</t>
  </si>
  <si>
    <t>Government Final Consumption - Constant</t>
  </si>
  <si>
    <t>Government Final Consumption - Current</t>
  </si>
  <si>
    <t>Gross Fixed Capital Formatio - Constant</t>
  </si>
  <si>
    <t>Gross Fixed Capital Formatio - Current</t>
  </si>
  <si>
    <t>Changes in Stocks - Constant</t>
  </si>
  <si>
    <t>Change in Stocks - Current</t>
  </si>
  <si>
    <t>Valuables - Constant</t>
  </si>
  <si>
    <t>Valuables - Current</t>
  </si>
  <si>
    <t>Exports of Goods and Services - Constant</t>
  </si>
  <si>
    <t>Exports of Goods and Services - Current</t>
  </si>
  <si>
    <t>Import of Goods and Services - Constant</t>
  </si>
  <si>
    <t>Import of Goods and Services - Current</t>
  </si>
  <si>
    <t>Discrepancies - Constant</t>
  </si>
  <si>
    <t>Discrepancies - Current</t>
  </si>
  <si>
    <t>Gross Domestic Product - Constant</t>
  </si>
  <si>
    <t>Gross Domestic Product - Current</t>
  </si>
  <si>
    <t>Private Final Consumption Expenditure- Constant</t>
  </si>
  <si>
    <t>Private Final Consumption Expenditure- 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</si>
</sst>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mbria"/>
      <family val="1"/>
    </font>
    <font>
      <b/>
      <sz val="11"/>
      <color theme="0"/>
      <name val="Cambria"/>
      <family val="1"/>
    </font>
    <font>
      <b/>
      <sz val="11"/>
      <color theme="1"/>
      <name val="Cambria"/>
      <family val="1"/>
    </font>
    <font>
      <b/>
      <sz val="10"/>
      <color theme="1"/>
      <name val="Cambria"/>
      <family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theme="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4" fontId="1" fillId="0" borderId="1" xfId="0" applyNumberFormat="1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indent="4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left" vertical="center" wrapText="1"/>
    </xf>
    <xf numFmtId="0" fontId="3" fillId="0" borderId="0" xfId="0" applyFont="1" applyAlignment="1">
      <alignment horizontal="centerContinuous" vertical="top"/>
    </xf>
    <xf numFmtId="0" fontId="1" fillId="0" borderId="0" xfId="0" applyFont="1" applyAlignment="1">
      <alignment horizontal="centerContinuous"/>
    </xf>
    <xf numFmtId="164" fontId="1" fillId="0" borderId="0" xfId="1" applyNumberFormat="1" applyFont="1"/>
    <xf numFmtId="164" fontId="1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1" fillId="0" borderId="1" xfId="0" applyFont="1" applyBorder="1"/>
    <xf numFmtId="1" fontId="2" fillId="3" borderId="1" xfId="0" applyNumberFormat="1" applyFont="1" applyFill="1" applyBorder="1"/>
    <xf numFmtId="1" fontId="1" fillId="0" borderId="1" xfId="0" applyNumberFormat="1" applyFont="1" applyBorder="1"/>
    <xf numFmtId="1" fontId="0" fillId="0" borderId="0" xfId="0" applyNumberFormat="1"/>
    <xf numFmtId="0" fontId="1" fillId="0" borderId="0" xfId="0" applyFont="1" applyBorder="1"/>
    <xf numFmtId="1" fontId="1" fillId="0" borderId="0" xfId="0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7E6B-4297-4AA3-A8F0-830C2537F16F}">
  <dimension ref="A1:M10"/>
  <sheetViews>
    <sheetView zoomScale="145" zoomScaleNormal="145" workbookViewId="0">
      <selection activeCell="J6" sqref="J6"/>
    </sheetView>
  </sheetViews>
  <sheetFormatPr defaultRowHeight="14.25" x14ac:dyDescent="0.2"/>
  <cols>
    <col min="1" max="1" width="20.85546875" style="1" bestFit="1" customWidth="1"/>
    <col min="2" max="2" width="12" style="1" bestFit="1" customWidth="1"/>
    <col min="3" max="16384" width="9.140625" style="1"/>
  </cols>
  <sheetData>
    <row r="1" spans="1:13" ht="17.25" customHeight="1" x14ac:dyDescent="0.2">
      <c r="A1" s="14" t="s">
        <v>89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17.25" customHeight="1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ht="16.5" customHeight="1" x14ac:dyDescent="0.2">
      <c r="A3" s="7" t="s">
        <v>90</v>
      </c>
      <c r="B3" s="10" t="s">
        <v>94</v>
      </c>
      <c r="C3" s="11"/>
      <c r="D3" s="11"/>
      <c r="E3" s="11"/>
      <c r="F3" s="11"/>
    </row>
    <row r="4" spans="1:13" ht="12.75" customHeight="1" x14ac:dyDescent="0.2">
      <c r="B4" s="9" t="s">
        <v>88</v>
      </c>
      <c r="C4" s="9" t="s">
        <v>47</v>
      </c>
      <c r="D4" s="9" t="s">
        <v>29</v>
      </c>
      <c r="E4" s="9" t="s">
        <v>17</v>
      </c>
      <c r="F4" s="9" t="s">
        <v>14</v>
      </c>
    </row>
    <row r="5" spans="1:13" x14ac:dyDescent="0.2">
      <c r="A5" s="6" t="s">
        <v>91</v>
      </c>
    </row>
    <row r="6" spans="1:13" x14ac:dyDescent="0.2">
      <c r="A6" s="5" t="s">
        <v>92</v>
      </c>
      <c r="B6" s="1">
        <f>Data!$C$5/Data!C79*100</f>
        <v>110.69182389937107</v>
      </c>
      <c r="C6" s="1">
        <f>Data!C5/Data!C38*100</f>
        <v>272.86821705426354</v>
      </c>
      <c r="D6" s="1">
        <f>Data!C5/Data!C21*100</f>
        <v>140.79999999999998</v>
      </c>
      <c r="E6" s="1">
        <f>Data!C5/Data!C9*100</f>
        <v>60.273972602739725</v>
      </c>
      <c r="F6" s="1">
        <f>Data!C5/Data!C6*100</f>
        <v>97.777777777777771</v>
      </c>
    </row>
    <row r="7" spans="1:13" x14ac:dyDescent="0.2">
      <c r="A7" s="5" t="s">
        <v>93</v>
      </c>
      <c r="B7" s="1">
        <f>Data!D5/Data!D79*100</f>
        <v>84.362139917695458</v>
      </c>
      <c r="C7" s="1">
        <f>Data!D5/Data!D38*100</f>
        <v>64.313725490196077</v>
      </c>
      <c r="D7" s="1">
        <f>Data!D5/Data!D21*100</f>
        <v>58.571428571428562</v>
      </c>
      <c r="E7" s="1">
        <f>Data!D5/Data!D9*100</f>
        <v>44.157242864835752</v>
      </c>
      <c r="F7" s="1">
        <f>Data!D5/Data!D6*100</f>
        <v>68.561872909698991</v>
      </c>
    </row>
    <row r="8" spans="1:13" x14ac:dyDescent="0.2">
      <c r="A8" s="6" t="s">
        <v>95</v>
      </c>
    </row>
    <row r="9" spans="1:13" x14ac:dyDescent="0.2">
      <c r="A9" s="5" t="s">
        <v>92</v>
      </c>
    </row>
    <row r="10" spans="1:13" x14ac:dyDescent="0.2">
      <c r="A10" s="5" t="s">
        <v>93</v>
      </c>
    </row>
  </sheetData>
  <mergeCells count="1">
    <mergeCell ref="A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9"/>
  <sheetViews>
    <sheetView workbookViewId="0">
      <selection activeCell="E2" sqref="E2:F2"/>
    </sheetView>
  </sheetViews>
  <sheetFormatPr defaultColWidth="11.7109375" defaultRowHeight="30" customHeight="1" x14ac:dyDescent="0.2"/>
  <cols>
    <col min="1" max="1" width="11.7109375" style="1"/>
    <col min="2" max="2" width="18" style="1" bestFit="1" customWidth="1"/>
    <col min="3" max="16384" width="11.7109375" style="1"/>
  </cols>
  <sheetData>
    <row r="1" spans="1:20" ht="30" customHeight="1" x14ac:dyDescent="0.2">
      <c r="A1" s="15" t="s">
        <v>0</v>
      </c>
      <c r="B1" s="16" t="s">
        <v>96</v>
      </c>
      <c r="C1" s="15" t="s">
        <v>1</v>
      </c>
      <c r="D1" s="15"/>
      <c r="E1" s="15" t="s">
        <v>2</v>
      </c>
      <c r="F1" s="15"/>
      <c r="G1" s="15" t="s">
        <v>4</v>
      </c>
      <c r="H1" s="15"/>
      <c r="I1" s="15" t="s">
        <v>5</v>
      </c>
      <c r="J1" s="15"/>
      <c r="K1" s="15" t="s">
        <v>6</v>
      </c>
      <c r="L1" s="15"/>
      <c r="M1" s="15" t="s">
        <v>7</v>
      </c>
      <c r="N1" s="15"/>
      <c r="O1" s="15" t="s">
        <v>8</v>
      </c>
      <c r="P1" s="15"/>
      <c r="Q1" s="15" t="s">
        <v>9</v>
      </c>
      <c r="R1" s="15"/>
      <c r="S1" s="15" t="s">
        <v>10</v>
      </c>
      <c r="T1" s="15"/>
    </row>
    <row r="2" spans="1:20" ht="30" customHeight="1" x14ac:dyDescent="0.2">
      <c r="A2" s="15"/>
      <c r="B2" s="17"/>
      <c r="C2" s="15"/>
      <c r="D2" s="15"/>
      <c r="E2" s="15" t="s">
        <v>3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1:20" ht="30" customHeight="1" x14ac:dyDescent="0.2">
      <c r="A3" s="15"/>
      <c r="B3" s="17"/>
      <c r="C3" s="4" t="s">
        <v>11</v>
      </c>
      <c r="D3" s="4" t="s">
        <v>12</v>
      </c>
      <c r="E3" s="4" t="s">
        <v>11</v>
      </c>
      <c r="F3" s="4" t="s">
        <v>12</v>
      </c>
      <c r="G3" s="4" t="s">
        <v>11</v>
      </c>
      <c r="H3" s="4" t="s">
        <v>12</v>
      </c>
      <c r="I3" s="4" t="s">
        <v>11</v>
      </c>
      <c r="J3" s="4" t="s">
        <v>12</v>
      </c>
      <c r="K3" s="4" t="s">
        <v>11</v>
      </c>
      <c r="L3" s="4" t="s">
        <v>12</v>
      </c>
      <c r="M3" s="4" t="s">
        <v>11</v>
      </c>
      <c r="N3" s="4" t="s">
        <v>12</v>
      </c>
      <c r="O3" s="4" t="s">
        <v>11</v>
      </c>
      <c r="P3" s="4" t="s">
        <v>12</v>
      </c>
      <c r="Q3" s="4" t="s">
        <v>11</v>
      </c>
      <c r="R3" s="4" t="s">
        <v>12</v>
      </c>
      <c r="S3" s="4" t="s">
        <v>11</v>
      </c>
      <c r="T3" s="4" t="s">
        <v>12</v>
      </c>
    </row>
    <row r="4" spans="1:20" ht="30" customHeight="1" x14ac:dyDescent="0.2">
      <c r="A4" s="15"/>
      <c r="B4" s="18"/>
      <c r="C4" s="4">
        <v>1</v>
      </c>
      <c r="D4" s="4">
        <v>2</v>
      </c>
      <c r="E4" s="4">
        <v>3</v>
      </c>
      <c r="F4" s="4">
        <v>4</v>
      </c>
      <c r="G4" s="4">
        <v>5</v>
      </c>
      <c r="H4" s="4">
        <v>6</v>
      </c>
      <c r="I4" s="4">
        <v>7</v>
      </c>
      <c r="J4" s="4">
        <v>8</v>
      </c>
      <c r="K4" s="4">
        <v>9</v>
      </c>
      <c r="L4" s="4">
        <v>10</v>
      </c>
      <c r="M4" s="4">
        <v>11</v>
      </c>
      <c r="N4" s="4">
        <v>12</v>
      </c>
      <c r="O4" s="4">
        <v>13</v>
      </c>
      <c r="P4" s="4">
        <v>14</v>
      </c>
      <c r="Q4" s="4">
        <v>15</v>
      </c>
      <c r="R4" s="4">
        <v>16</v>
      </c>
      <c r="S4" s="4">
        <v>17</v>
      </c>
      <c r="T4" s="4">
        <v>18</v>
      </c>
    </row>
    <row r="5" spans="1:20" ht="30" customHeight="1" x14ac:dyDescent="0.2">
      <c r="A5" s="2" t="s">
        <v>13</v>
      </c>
      <c r="B5" s="13" t="s">
        <v>35</v>
      </c>
      <c r="C5" s="2">
        <v>7.04</v>
      </c>
      <c r="D5" s="2">
        <v>8.1999999999999993</v>
      </c>
      <c r="E5" s="2">
        <v>5.19</v>
      </c>
      <c r="F5" s="2">
        <v>6.56</v>
      </c>
      <c r="G5" s="2">
        <v>7.82</v>
      </c>
      <c r="H5" s="2">
        <v>8.35</v>
      </c>
      <c r="I5" s="2">
        <v>4.9000000000000004</v>
      </c>
      <c r="J5" s="2">
        <v>3.93</v>
      </c>
      <c r="K5" s="2">
        <v>-10.63</v>
      </c>
      <c r="L5" s="2">
        <v>15.04</v>
      </c>
      <c r="M5" s="2">
        <v>6.38</v>
      </c>
      <c r="N5" s="2">
        <v>9.49</v>
      </c>
      <c r="O5" s="2">
        <v>14.44</v>
      </c>
      <c r="P5" s="2">
        <v>9.0399999999999991</v>
      </c>
      <c r="Q5" s="2">
        <v>-145.57</v>
      </c>
      <c r="R5" s="2">
        <v>18.28</v>
      </c>
      <c r="S5" s="2">
        <v>7.41</v>
      </c>
      <c r="T5" s="2">
        <v>8</v>
      </c>
    </row>
    <row r="6" spans="1:20" ht="30" customHeight="1" x14ac:dyDescent="0.2">
      <c r="A6" s="2" t="s">
        <v>14</v>
      </c>
      <c r="B6" s="12">
        <v>1450935791</v>
      </c>
      <c r="C6" s="2">
        <v>7.2</v>
      </c>
      <c r="D6" s="2">
        <v>11.96</v>
      </c>
      <c r="E6" s="2">
        <v>2.2799999999999998</v>
      </c>
      <c r="F6" s="2">
        <v>6.4</v>
      </c>
      <c r="G6" s="2">
        <v>7.06</v>
      </c>
      <c r="H6" s="2">
        <v>7.87</v>
      </c>
      <c r="I6" s="2">
        <v>4.46</v>
      </c>
      <c r="J6" s="2">
        <v>8.18</v>
      </c>
      <c r="K6" s="2">
        <v>0.61</v>
      </c>
      <c r="L6" s="2">
        <v>17.850000000000001</v>
      </c>
      <c r="M6" s="2">
        <v>6.34</v>
      </c>
      <c r="N6" s="2">
        <v>8.31</v>
      </c>
      <c r="O6" s="2">
        <v>-3.67</v>
      </c>
      <c r="P6" s="2">
        <v>9.51</v>
      </c>
      <c r="Q6" s="2">
        <v>-295.72000000000003</v>
      </c>
      <c r="R6" s="2">
        <v>22.28</v>
      </c>
      <c r="S6" s="2">
        <v>6.49</v>
      </c>
      <c r="T6" s="2">
        <v>9.7799999999999994</v>
      </c>
    </row>
    <row r="7" spans="1:20" ht="30" customHeight="1" x14ac:dyDescent="0.2">
      <c r="A7" s="2" t="s">
        <v>15</v>
      </c>
      <c r="B7" s="12">
        <v>1438069596</v>
      </c>
      <c r="C7" s="2">
        <v>5.56</v>
      </c>
      <c r="D7" s="2">
        <v>9.6999999999999993</v>
      </c>
      <c r="E7" s="2">
        <v>8.14</v>
      </c>
      <c r="F7" s="2">
        <v>12.57</v>
      </c>
      <c r="G7" s="2">
        <v>8.7799999999999994</v>
      </c>
      <c r="H7" s="2">
        <v>9.16</v>
      </c>
      <c r="I7" s="2">
        <v>53.44</v>
      </c>
      <c r="J7" s="2">
        <v>53.27</v>
      </c>
      <c r="K7" s="2">
        <v>14.44</v>
      </c>
      <c r="L7" s="2">
        <v>23.35</v>
      </c>
      <c r="M7" s="2">
        <v>2.2000000000000002</v>
      </c>
      <c r="N7" s="2">
        <v>3.34</v>
      </c>
      <c r="O7" s="2">
        <v>13.75</v>
      </c>
      <c r="P7" s="2">
        <v>-1.68</v>
      </c>
      <c r="Q7" s="2">
        <v>-128.72999999999999</v>
      </c>
      <c r="R7" s="2">
        <v>11.68</v>
      </c>
      <c r="S7" s="2">
        <v>9.19</v>
      </c>
      <c r="T7" s="2">
        <v>12.02</v>
      </c>
    </row>
    <row r="8" spans="1:20" ht="30" customHeight="1" x14ac:dyDescent="0.2">
      <c r="A8" s="2" t="s">
        <v>16</v>
      </c>
      <c r="B8" s="12">
        <v>1425423212</v>
      </c>
      <c r="C8" s="2">
        <v>7.47</v>
      </c>
      <c r="D8" s="2">
        <v>14.91</v>
      </c>
      <c r="E8" s="2">
        <v>4.3</v>
      </c>
      <c r="F8" s="2">
        <v>11.55</v>
      </c>
      <c r="G8" s="2">
        <v>8.4499999999999993</v>
      </c>
      <c r="H8" s="2">
        <v>20.29</v>
      </c>
      <c r="I8" s="2">
        <v>24.33</v>
      </c>
      <c r="J8" s="2">
        <v>40.22</v>
      </c>
      <c r="K8" s="2">
        <v>-16.940000000000001</v>
      </c>
      <c r="L8" s="2">
        <v>-10.53</v>
      </c>
      <c r="M8" s="2">
        <v>10.32</v>
      </c>
      <c r="N8" s="2">
        <v>23.82</v>
      </c>
      <c r="O8" s="2">
        <v>8.92</v>
      </c>
      <c r="P8" s="2">
        <v>27.24</v>
      </c>
      <c r="Q8" s="2">
        <v>4.3099999999999996</v>
      </c>
      <c r="R8" s="2">
        <v>119.24</v>
      </c>
      <c r="S8" s="2">
        <v>7.61</v>
      </c>
      <c r="T8" s="2">
        <v>13.96</v>
      </c>
    </row>
    <row r="9" spans="1:20" ht="30" customHeight="1" x14ac:dyDescent="0.2">
      <c r="A9" s="2" t="s">
        <v>17</v>
      </c>
      <c r="B9" s="12">
        <v>1414203896</v>
      </c>
      <c r="C9" s="2">
        <v>11.68</v>
      </c>
      <c r="D9" s="2">
        <v>18.57</v>
      </c>
      <c r="E9" s="2">
        <v>0.02</v>
      </c>
      <c r="F9" s="2">
        <v>7.23</v>
      </c>
      <c r="G9" s="2">
        <v>17.52</v>
      </c>
      <c r="H9" s="2">
        <v>28.66</v>
      </c>
      <c r="I9" s="2">
        <v>525.39</v>
      </c>
      <c r="J9" s="2">
        <v>456</v>
      </c>
      <c r="K9" s="2">
        <v>32.5</v>
      </c>
      <c r="L9" s="2">
        <v>38.090000000000003</v>
      </c>
      <c r="M9" s="2">
        <v>29.6</v>
      </c>
      <c r="N9" s="2">
        <v>36.14</v>
      </c>
      <c r="O9" s="2">
        <v>22.09</v>
      </c>
      <c r="P9" s="2">
        <v>49.69</v>
      </c>
      <c r="Q9" s="2">
        <v>-386.91</v>
      </c>
      <c r="R9" s="2">
        <v>-12.01</v>
      </c>
      <c r="S9" s="2">
        <v>9.69</v>
      </c>
      <c r="T9" s="2">
        <v>18.850000000000001</v>
      </c>
    </row>
    <row r="10" spans="1:20" ht="30" customHeight="1" x14ac:dyDescent="0.2">
      <c r="A10" s="2" t="s">
        <v>18</v>
      </c>
      <c r="B10" s="12">
        <v>1402617695</v>
      </c>
      <c r="C10" s="2">
        <v>-5.29</v>
      </c>
      <c r="D10" s="2">
        <v>-0.94</v>
      </c>
      <c r="E10" s="2">
        <v>-0.77</v>
      </c>
      <c r="F10" s="2">
        <v>4.2300000000000004</v>
      </c>
      <c r="G10" s="2">
        <v>-7.1</v>
      </c>
      <c r="H10" s="2">
        <v>-5.16</v>
      </c>
      <c r="I10" s="2">
        <v>-76.400000000000006</v>
      </c>
      <c r="J10" s="2">
        <v>-71.56</v>
      </c>
      <c r="K10" s="2">
        <v>29.86</v>
      </c>
      <c r="L10" s="2">
        <v>43.13</v>
      </c>
      <c r="M10" s="2">
        <v>-6.96</v>
      </c>
      <c r="N10" s="2">
        <v>-1.1399999999999999</v>
      </c>
      <c r="O10" s="2">
        <v>-12.62</v>
      </c>
      <c r="P10" s="2">
        <v>-11.31</v>
      </c>
      <c r="Q10" s="2">
        <v>-59.54</v>
      </c>
      <c r="R10" s="2">
        <v>-316.06</v>
      </c>
      <c r="S10" s="2">
        <v>-5.78</v>
      </c>
      <c r="T10" s="2">
        <v>-1.24</v>
      </c>
    </row>
    <row r="11" spans="1:20" ht="30" customHeight="1" x14ac:dyDescent="0.2">
      <c r="A11" s="2" t="s">
        <v>19</v>
      </c>
      <c r="B11" s="12">
        <v>1389030312</v>
      </c>
      <c r="C11" s="2">
        <v>5.17</v>
      </c>
      <c r="D11" s="2">
        <v>9.2799999999999994</v>
      </c>
      <c r="E11" s="2">
        <v>3.95</v>
      </c>
      <c r="F11" s="2">
        <v>8.1300000000000008</v>
      </c>
      <c r="G11" s="2">
        <v>1.1499999999999999</v>
      </c>
      <c r="H11" s="2">
        <v>2.73</v>
      </c>
      <c r="I11" s="2">
        <v>-58.7</v>
      </c>
      <c r="J11" s="2">
        <v>-57.51</v>
      </c>
      <c r="K11" s="2">
        <v>-14.18</v>
      </c>
      <c r="L11" s="2">
        <v>-13.84</v>
      </c>
      <c r="M11" s="2">
        <v>-3.38</v>
      </c>
      <c r="N11" s="2">
        <v>-0.37</v>
      </c>
      <c r="O11" s="2">
        <v>-0.84</v>
      </c>
      <c r="P11" s="2">
        <v>-4.62</v>
      </c>
      <c r="Q11" s="2">
        <v>186.18</v>
      </c>
      <c r="R11" s="2">
        <v>-53.86</v>
      </c>
      <c r="S11" s="2">
        <v>3.87</v>
      </c>
      <c r="T11" s="2">
        <v>6.37</v>
      </c>
    </row>
    <row r="12" spans="1:20" ht="30" customHeight="1" x14ac:dyDescent="0.2">
      <c r="A12" s="2" t="s">
        <v>20</v>
      </c>
      <c r="B12" s="12">
        <v>1374659064</v>
      </c>
      <c r="C12" s="2">
        <v>7.09</v>
      </c>
      <c r="D12" s="2">
        <v>11.65</v>
      </c>
      <c r="E12" s="2">
        <v>6.7</v>
      </c>
      <c r="F12" s="2">
        <v>11.16</v>
      </c>
      <c r="G12" s="2">
        <v>11.2</v>
      </c>
      <c r="H12" s="2">
        <v>15.63</v>
      </c>
      <c r="I12" s="2">
        <v>27.29</v>
      </c>
      <c r="J12" s="2">
        <v>33.950000000000003</v>
      </c>
      <c r="K12" s="2">
        <v>-9.6999999999999993</v>
      </c>
      <c r="L12" s="2">
        <v>-6.45</v>
      </c>
      <c r="M12" s="2">
        <v>11.93</v>
      </c>
      <c r="N12" s="2">
        <v>17.27</v>
      </c>
      <c r="O12" s="2">
        <v>8.82</v>
      </c>
      <c r="P12" s="2">
        <v>19.350000000000001</v>
      </c>
      <c r="Q12" s="2">
        <v>-66.19</v>
      </c>
      <c r="R12" s="2">
        <v>-46.18</v>
      </c>
      <c r="S12" s="2">
        <v>6.45</v>
      </c>
      <c r="T12" s="2">
        <v>10.59</v>
      </c>
    </row>
    <row r="13" spans="1:20" ht="30" customHeight="1" x14ac:dyDescent="0.2">
      <c r="A13" s="2" t="s">
        <v>21</v>
      </c>
      <c r="B13" s="12">
        <v>1359657400</v>
      </c>
      <c r="C13" s="2">
        <v>6.24</v>
      </c>
      <c r="D13" s="2">
        <v>9.9700000000000006</v>
      </c>
      <c r="E13" s="2">
        <v>11.92</v>
      </c>
      <c r="F13" s="2">
        <v>15.97</v>
      </c>
      <c r="G13" s="2">
        <v>7.8</v>
      </c>
      <c r="H13" s="2">
        <v>10.99</v>
      </c>
      <c r="I13" s="2">
        <v>68.33</v>
      </c>
      <c r="J13" s="2">
        <v>72.06</v>
      </c>
      <c r="K13" s="2">
        <v>40.159999999999997</v>
      </c>
      <c r="L13" s="2">
        <v>44.44</v>
      </c>
      <c r="M13" s="2">
        <v>4.5599999999999996</v>
      </c>
      <c r="N13" s="2">
        <v>8.91</v>
      </c>
      <c r="O13" s="2">
        <v>17.420000000000002</v>
      </c>
      <c r="P13" s="2">
        <v>16.48</v>
      </c>
      <c r="Q13" s="2">
        <v>59.6</v>
      </c>
      <c r="R13" s="2">
        <v>49.82</v>
      </c>
      <c r="S13" s="2">
        <v>6.8</v>
      </c>
      <c r="T13" s="2">
        <v>11.03</v>
      </c>
    </row>
    <row r="14" spans="1:20" ht="30" customHeight="1" x14ac:dyDescent="0.2">
      <c r="A14" s="2" t="s">
        <v>22</v>
      </c>
      <c r="B14" s="12">
        <v>1343944296</v>
      </c>
      <c r="C14" s="2">
        <v>8.1300000000000008</v>
      </c>
      <c r="D14" s="2">
        <v>12.31</v>
      </c>
      <c r="E14" s="2">
        <v>6.07</v>
      </c>
      <c r="F14" s="2">
        <v>10.48</v>
      </c>
      <c r="G14" s="2">
        <v>8.4600000000000009</v>
      </c>
      <c r="H14" s="2">
        <v>9.64</v>
      </c>
      <c r="I14" s="2">
        <v>-48.81</v>
      </c>
      <c r="J14" s="2">
        <v>-47.39</v>
      </c>
      <c r="K14" s="2">
        <v>-18.55</v>
      </c>
      <c r="L14" s="2">
        <v>-17.78</v>
      </c>
      <c r="M14" s="2">
        <v>4.9800000000000004</v>
      </c>
      <c r="N14" s="2">
        <v>8.07</v>
      </c>
      <c r="O14" s="2">
        <v>4.38</v>
      </c>
      <c r="P14" s="2">
        <v>5.77</v>
      </c>
      <c r="Q14" s="2">
        <v>252.58</v>
      </c>
      <c r="R14" s="2">
        <v>198.76</v>
      </c>
      <c r="S14" s="2">
        <v>8.26</v>
      </c>
      <c r="T14" s="2">
        <v>11.76</v>
      </c>
    </row>
    <row r="15" spans="1:20" ht="30" customHeight="1" x14ac:dyDescent="0.2">
      <c r="A15" s="2" t="s">
        <v>23</v>
      </c>
      <c r="B15" s="12">
        <v>1328024498</v>
      </c>
      <c r="C15" s="2">
        <v>7.93</v>
      </c>
      <c r="D15" s="2">
        <v>12.13</v>
      </c>
      <c r="E15" s="2">
        <v>7.46</v>
      </c>
      <c r="F15" s="2">
        <v>10.33</v>
      </c>
      <c r="G15" s="2">
        <v>6.53</v>
      </c>
      <c r="H15" s="2">
        <v>5.51</v>
      </c>
      <c r="I15" s="2">
        <v>-12.81</v>
      </c>
      <c r="J15" s="2">
        <v>-16.059999999999999</v>
      </c>
      <c r="K15" s="2">
        <v>-1.05</v>
      </c>
      <c r="L15" s="2">
        <v>-2.82</v>
      </c>
      <c r="M15" s="2">
        <v>-5.65</v>
      </c>
      <c r="N15" s="2">
        <v>-4.71</v>
      </c>
      <c r="O15" s="2">
        <v>-5.85</v>
      </c>
      <c r="P15" s="2">
        <v>-5.9</v>
      </c>
      <c r="Q15" s="2">
        <v>-421.81</v>
      </c>
      <c r="R15" s="2">
        <v>448.48</v>
      </c>
      <c r="S15" s="2">
        <v>8</v>
      </c>
      <c r="T15" s="2">
        <v>10.46</v>
      </c>
    </row>
    <row r="16" spans="1:20" ht="30" customHeight="1" x14ac:dyDescent="0.2">
      <c r="A16" s="2" t="s">
        <v>24</v>
      </c>
      <c r="B16" s="12">
        <v>1312277191</v>
      </c>
      <c r="C16" s="2">
        <v>6.39</v>
      </c>
      <c r="D16" s="2">
        <v>11.92</v>
      </c>
      <c r="E16" s="2">
        <v>7.59</v>
      </c>
      <c r="F16" s="2">
        <v>12.56</v>
      </c>
      <c r="G16" s="2">
        <v>2.6</v>
      </c>
      <c r="H16" s="2">
        <v>6.68</v>
      </c>
      <c r="I16" s="2">
        <v>111.74</v>
      </c>
      <c r="J16" s="2">
        <v>116.22</v>
      </c>
      <c r="K16" s="2">
        <v>26.25</v>
      </c>
      <c r="L16" s="2">
        <v>29.45</v>
      </c>
      <c r="M16" s="2">
        <v>1.78</v>
      </c>
      <c r="N16" s="2">
        <v>0.24</v>
      </c>
      <c r="O16" s="2">
        <v>0.87</v>
      </c>
      <c r="P16" s="2">
        <v>1.38</v>
      </c>
      <c r="Q16" s="2">
        <v>-25.93</v>
      </c>
      <c r="R16" s="2">
        <v>-83.66</v>
      </c>
      <c r="S16" s="2">
        <v>7.41</v>
      </c>
      <c r="T16" s="2">
        <v>10.99</v>
      </c>
    </row>
    <row r="17" spans="1:20" ht="30" customHeight="1" x14ac:dyDescent="0.2">
      <c r="A17" s="2" t="s">
        <v>25</v>
      </c>
      <c r="B17" s="12">
        <v>1295829511</v>
      </c>
      <c r="C17" s="2">
        <v>7.3</v>
      </c>
      <c r="D17" s="2">
        <v>15.34</v>
      </c>
      <c r="E17" s="2">
        <v>0.56999999999999995</v>
      </c>
      <c r="F17" s="2">
        <v>8.86</v>
      </c>
      <c r="G17" s="2">
        <v>1.56</v>
      </c>
      <c r="H17" s="2">
        <v>5.73</v>
      </c>
      <c r="I17" s="2">
        <v>-35.61</v>
      </c>
      <c r="J17" s="2">
        <v>-32.590000000000003</v>
      </c>
      <c r="K17" s="2">
        <v>-42.73</v>
      </c>
      <c r="L17" s="2">
        <v>-40.909999999999997</v>
      </c>
      <c r="M17" s="2">
        <v>7.79</v>
      </c>
      <c r="N17" s="2">
        <v>17.100000000000001</v>
      </c>
      <c r="O17" s="2">
        <v>-8.15</v>
      </c>
      <c r="P17" s="2">
        <v>2.68</v>
      </c>
      <c r="Q17" s="2">
        <v>-179.4</v>
      </c>
      <c r="R17" s="2">
        <v>-6.68</v>
      </c>
      <c r="S17" s="2">
        <v>6.39</v>
      </c>
      <c r="T17" s="2">
        <v>12.97</v>
      </c>
    </row>
    <row r="18" spans="1:20" ht="30" customHeight="1" x14ac:dyDescent="0.2">
      <c r="A18" s="2" t="s">
        <v>26</v>
      </c>
      <c r="B18" s="12">
        <v>1278674502</v>
      </c>
      <c r="C18" s="2">
        <v>5.47</v>
      </c>
      <c r="D18" s="2">
        <v>14.34</v>
      </c>
      <c r="E18" s="2">
        <v>0.61</v>
      </c>
      <c r="F18" s="2">
        <v>9.7100000000000009</v>
      </c>
      <c r="G18" s="2">
        <v>4.9400000000000004</v>
      </c>
      <c r="H18" s="2">
        <v>10.92</v>
      </c>
      <c r="I18" s="2">
        <v>-3.1</v>
      </c>
      <c r="J18" s="2">
        <v>3.15</v>
      </c>
      <c r="K18" s="2">
        <v>2.73</v>
      </c>
      <c r="L18" s="2">
        <v>8.1999999999999993</v>
      </c>
      <c r="M18" s="2">
        <v>6.81</v>
      </c>
      <c r="N18" s="2">
        <v>13.8</v>
      </c>
      <c r="O18" s="2">
        <v>6.02</v>
      </c>
      <c r="P18" s="2">
        <v>14.47</v>
      </c>
      <c r="Q18" s="2">
        <v>-240.56</v>
      </c>
      <c r="R18" s="2">
        <v>-513.82000000000005</v>
      </c>
      <c r="S18" s="2">
        <v>5.46</v>
      </c>
      <c r="T18" s="2">
        <v>13.82</v>
      </c>
    </row>
    <row r="19" spans="1:20" ht="30" customHeight="1" x14ac:dyDescent="0.2">
      <c r="A19" s="2" t="s">
        <v>27</v>
      </c>
      <c r="B19" s="12">
        <v>1261224954</v>
      </c>
      <c r="C19" s="2">
        <v>7.42</v>
      </c>
      <c r="D19" s="2">
        <v>17.53</v>
      </c>
      <c r="E19" s="2">
        <v>6.53</v>
      </c>
      <c r="F19" s="2">
        <v>15.23</v>
      </c>
      <c r="G19" s="2">
        <v>12.09</v>
      </c>
      <c r="H19" s="2">
        <v>18.16</v>
      </c>
      <c r="I19" s="2">
        <v>-43.41</v>
      </c>
      <c r="J19" s="2">
        <v>-37.630000000000003</v>
      </c>
      <c r="K19" s="2">
        <v>6.6</v>
      </c>
      <c r="L19" s="2">
        <v>51.49</v>
      </c>
      <c r="M19" s="2">
        <v>15.49</v>
      </c>
      <c r="N19" s="2">
        <v>25.36</v>
      </c>
      <c r="O19" s="2">
        <v>20.41</v>
      </c>
      <c r="P19" s="2">
        <v>32.450000000000003</v>
      </c>
      <c r="Q19" s="2">
        <v>-50.04</v>
      </c>
      <c r="R19" s="2">
        <v>-63.56</v>
      </c>
      <c r="S19" s="2">
        <v>5.24</v>
      </c>
      <c r="T19" s="2">
        <v>14.43</v>
      </c>
    </row>
    <row r="20" spans="1:20" ht="30" customHeight="1" x14ac:dyDescent="0.2">
      <c r="A20" s="2" t="s">
        <v>28</v>
      </c>
      <c r="B20" s="12">
        <v>1243481564</v>
      </c>
      <c r="C20" s="2">
        <v>6.72</v>
      </c>
      <c r="D20" s="2">
        <v>17.27</v>
      </c>
      <c r="E20" s="2">
        <v>5.22</v>
      </c>
      <c r="F20" s="2">
        <v>15.19</v>
      </c>
      <c r="G20" s="2">
        <v>11.05</v>
      </c>
      <c r="H20" s="2">
        <v>17.37</v>
      </c>
      <c r="I20" s="2">
        <v>44.67</v>
      </c>
      <c r="J20" s="2">
        <v>52.65</v>
      </c>
      <c r="K20" s="2">
        <v>32.44</v>
      </c>
      <c r="L20" s="2">
        <v>40</v>
      </c>
      <c r="M20" s="2">
        <v>19.48</v>
      </c>
      <c r="N20" s="2">
        <v>31.68</v>
      </c>
      <c r="O20" s="2">
        <v>15.81</v>
      </c>
      <c r="P20" s="2">
        <v>24.47</v>
      </c>
      <c r="Q20" s="2">
        <v>-206.06</v>
      </c>
      <c r="R20" s="2">
        <v>6</v>
      </c>
      <c r="S20" s="2">
        <v>8.5</v>
      </c>
      <c r="T20" s="2">
        <v>19.920000000000002</v>
      </c>
    </row>
    <row r="21" spans="1:20" ht="30" customHeight="1" x14ac:dyDescent="0.2">
      <c r="A21" s="2" t="s">
        <v>29</v>
      </c>
      <c r="B21" s="12">
        <v>1225524753</v>
      </c>
      <c r="C21" s="2">
        <v>5</v>
      </c>
      <c r="D21" s="2">
        <v>14</v>
      </c>
      <c r="E21" s="2">
        <v>14.19</v>
      </c>
      <c r="F21" s="2">
        <v>25.55</v>
      </c>
      <c r="G21" s="2">
        <v>7.68</v>
      </c>
      <c r="H21" s="2">
        <v>12.91</v>
      </c>
      <c r="I21" s="2">
        <v>67.72</v>
      </c>
      <c r="J21" s="2">
        <v>67.78</v>
      </c>
      <c r="K21" s="2">
        <v>57.57</v>
      </c>
      <c r="L21" s="2">
        <v>61.07</v>
      </c>
      <c r="M21" s="2">
        <v>-4.83</v>
      </c>
      <c r="N21" s="2">
        <v>-2.2599999999999998</v>
      </c>
      <c r="O21" s="2">
        <v>-1.93</v>
      </c>
      <c r="P21" s="2">
        <v>2.0499999999999998</v>
      </c>
      <c r="Q21" s="2">
        <v>-48.55</v>
      </c>
      <c r="R21" s="2">
        <v>199.58</v>
      </c>
      <c r="S21" s="2">
        <v>7.86</v>
      </c>
      <c r="T21" s="2">
        <v>15.46</v>
      </c>
    </row>
    <row r="22" spans="1:20" ht="30" customHeight="1" x14ac:dyDescent="0.2">
      <c r="A22" s="2" t="s">
        <v>30</v>
      </c>
      <c r="B22" s="12">
        <v>1207930964</v>
      </c>
      <c r="C22" s="2">
        <v>4.45</v>
      </c>
      <c r="D22" s="2">
        <v>14.41</v>
      </c>
      <c r="E22" s="2">
        <v>11.36</v>
      </c>
      <c r="F22" s="2">
        <v>20.28</v>
      </c>
      <c r="G22" s="2">
        <v>3.2</v>
      </c>
      <c r="H22" s="2">
        <v>9.1199999999999992</v>
      </c>
      <c r="I22" s="2">
        <v>-51.38</v>
      </c>
      <c r="J22" s="2">
        <v>-47.01</v>
      </c>
      <c r="K22" s="2">
        <v>26.92</v>
      </c>
      <c r="L22" s="2">
        <v>34.75</v>
      </c>
      <c r="M22" s="2">
        <v>14.78</v>
      </c>
      <c r="N22" s="2">
        <v>30.41</v>
      </c>
      <c r="O22" s="2">
        <v>22.45</v>
      </c>
      <c r="P22" s="2">
        <v>32.4</v>
      </c>
      <c r="Q22" s="2">
        <v>-248.74</v>
      </c>
      <c r="R22" s="2">
        <v>-85.01</v>
      </c>
      <c r="S22" s="2">
        <v>3.09</v>
      </c>
      <c r="T22" s="2">
        <v>12.56</v>
      </c>
    </row>
    <row r="23" spans="1:20" ht="30" customHeight="1" x14ac:dyDescent="0.2">
      <c r="A23" s="2" t="s">
        <v>31</v>
      </c>
      <c r="B23" s="12">
        <v>1190676021</v>
      </c>
      <c r="C23" s="2">
        <v>7.28</v>
      </c>
      <c r="D23" s="2">
        <v>14.42</v>
      </c>
      <c r="E23" s="2">
        <v>9.42</v>
      </c>
      <c r="F23" s="2">
        <v>15.84</v>
      </c>
      <c r="G23" s="2">
        <v>16.329999999999998</v>
      </c>
      <c r="H23" s="2">
        <v>22.78</v>
      </c>
      <c r="I23" s="2">
        <v>31.34</v>
      </c>
      <c r="J23" s="2">
        <v>37</v>
      </c>
      <c r="K23" s="2">
        <v>2.9</v>
      </c>
      <c r="L23" s="2">
        <v>7.81</v>
      </c>
      <c r="M23" s="2">
        <v>5.87</v>
      </c>
      <c r="N23" s="2">
        <v>12.6</v>
      </c>
      <c r="O23" s="2">
        <v>9.9499999999999993</v>
      </c>
      <c r="P23" s="2">
        <v>17.16</v>
      </c>
      <c r="Q23" s="2">
        <v>-198.67</v>
      </c>
      <c r="R23" s="2">
        <v>133.07</v>
      </c>
      <c r="S23" s="2">
        <v>7.66</v>
      </c>
      <c r="T23" s="2">
        <v>15.14</v>
      </c>
    </row>
    <row r="24" spans="1:20" ht="30" customHeight="1" x14ac:dyDescent="0.2">
      <c r="A24" s="2" t="s">
        <v>32</v>
      </c>
      <c r="B24" s="12">
        <v>1172878890</v>
      </c>
      <c r="C24" s="2">
        <v>4.9400000000000004</v>
      </c>
      <c r="D24" s="2">
        <v>14.55</v>
      </c>
      <c r="E24" s="2">
        <v>4.05</v>
      </c>
      <c r="F24" s="2">
        <v>10.77</v>
      </c>
      <c r="G24" s="2">
        <v>13.87</v>
      </c>
      <c r="H24" s="2">
        <v>20.11</v>
      </c>
      <c r="I24" s="2">
        <v>31.57</v>
      </c>
      <c r="J24" s="2">
        <v>40.92</v>
      </c>
      <c r="K24" s="2">
        <v>13.66</v>
      </c>
      <c r="L24" s="2">
        <v>20.09</v>
      </c>
      <c r="M24" s="2">
        <v>20.39</v>
      </c>
      <c r="N24" s="2">
        <v>27.07</v>
      </c>
      <c r="O24" s="2">
        <v>21.5</v>
      </c>
      <c r="P24" s="2">
        <v>27.91</v>
      </c>
      <c r="Q24" s="2">
        <v>38.049999999999997</v>
      </c>
      <c r="R24" s="2">
        <v>-15.3</v>
      </c>
      <c r="S24" s="2">
        <v>8.06</v>
      </c>
      <c r="T24" s="2">
        <v>17.14</v>
      </c>
    </row>
    <row r="25" spans="1:20" ht="30" customHeight="1" x14ac:dyDescent="0.2">
      <c r="A25" s="2" t="s">
        <v>33</v>
      </c>
      <c r="B25" s="12">
        <v>1154676322</v>
      </c>
      <c r="C25" s="2">
        <v>7.46</v>
      </c>
      <c r="D25" s="2">
        <v>12.09</v>
      </c>
      <c r="E25" s="2">
        <v>8.82</v>
      </c>
      <c r="F25" s="2">
        <v>13.57</v>
      </c>
      <c r="G25" s="2">
        <v>16.440000000000001</v>
      </c>
      <c r="H25" s="2">
        <v>21.59</v>
      </c>
      <c r="I25" s="2">
        <v>26.65</v>
      </c>
      <c r="J25" s="2">
        <v>30.24</v>
      </c>
      <c r="K25" s="2">
        <v>-1.56</v>
      </c>
      <c r="L25" s="2">
        <v>0.82</v>
      </c>
      <c r="M25" s="2">
        <v>26.09</v>
      </c>
      <c r="N25" s="2">
        <v>25.14</v>
      </c>
      <c r="O25" s="2">
        <v>32.270000000000003</v>
      </c>
      <c r="P25" s="2">
        <v>29.96</v>
      </c>
      <c r="Q25" s="2">
        <v>-51.67</v>
      </c>
      <c r="R25" s="2">
        <v>31.35</v>
      </c>
      <c r="S25" s="2">
        <v>7.92</v>
      </c>
      <c r="T25" s="2">
        <v>13.99</v>
      </c>
    </row>
    <row r="26" spans="1:20" ht="30" customHeight="1" x14ac:dyDescent="0.2">
      <c r="A26" s="2" t="s">
        <v>34</v>
      </c>
      <c r="B26" s="12">
        <v>1135991513</v>
      </c>
      <c r="C26" s="2">
        <v>5.17</v>
      </c>
      <c r="D26" s="2">
        <v>8.25</v>
      </c>
      <c r="E26" s="2">
        <v>3.98</v>
      </c>
      <c r="F26" s="2">
        <v>9.16</v>
      </c>
      <c r="G26" s="2">
        <v>11.45</v>
      </c>
      <c r="H26" s="2">
        <v>23.66</v>
      </c>
      <c r="I26" s="2">
        <v>269.91000000000003</v>
      </c>
      <c r="J26" s="2">
        <v>118.39</v>
      </c>
      <c r="K26" s="2">
        <v>57.25</v>
      </c>
      <c r="L26" s="2">
        <v>67.08</v>
      </c>
      <c r="M26" s="2">
        <v>27.18</v>
      </c>
      <c r="N26" s="2">
        <v>36.32</v>
      </c>
      <c r="O26" s="2">
        <v>22.2</v>
      </c>
      <c r="P26" s="2">
        <v>43.28</v>
      </c>
      <c r="Q26" s="2" t="s">
        <v>35</v>
      </c>
      <c r="R26" s="2" t="s">
        <v>35</v>
      </c>
      <c r="S26" s="2">
        <v>7.92</v>
      </c>
      <c r="T26" s="2">
        <v>14.1</v>
      </c>
    </row>
    <row r="27" spans="1:20" ht="30" customHeight="1" x14ac:dyDescent="0.2">
      <c r="A27" s="2" t="s">
        <v>36</v>
      </c>
      <c r="B27" s="12">
        <v>1116803006</v>
      </c>
      <c r="C27" s="2">
        <v>5.93</v>
      </c>
      <c r="D27" s="2">
        <v>9.32</v>
      </c>
      <c r="E27" s="2">
        <v>2.78</v>
      </c>
      <c r="F27" s="2">
        <v>7.7</v>
      </c>
      <c r="G27" s="2">
        <v>5.12</v>
      </c>
      <c r="H27" s="2">
        <v>12.04</v>
      </c>
      <c r="I27" s="2">
        <v>8.07</v>
      </c>
      <c r="J27" s="2">
        <v>33.520000000000003</v>
      </c>
      <c r="K27" s="2">
        <v>66.599999999999994</v>
      </c>
      <c r="L27" s="2">
        <v>76.06</v>
      </c>
      <c r="M27" s="2">
        <v>9.58</v>
      </c>
      <c r="N27" s="2">
        <v>17.399999999999999</v>
      </c>
      <c r="O27" s="2">
        <v>13.88</v>
      </c>
      <c r="P27" s="2">
        <v>14.97</v>
      </c>
      <c r="Q27" s="2" t="s">
        <v>35</v>
      </c>
      <c r="R27" s="2" t="s">
        <v>35</v>
      </c>
      <c r="S27" s="2">
        <v>7.86</v>
      </c>
      <c r="T27" s="2">
        <v>12.03</v>
      </c>
    </row>
    <row r="28" spans="1:20" ht="30" customHeight="1" x14ac:dyDescent="0.2">
      <c r="A28" s="2" t="s">
        <v>37</v>
      </c>
      <c r="B28" s="12">
        <v>1097600380</v>
      </c>
      <c r="C28" s="2">
        <v>2.87</v>
      </c>
      <c r="D28" s="2">
        <v>5.79</v>
      </c>
      <c r="E28" s="2">
        <v>-0.19</v>
      </c>
      <c r="F28" s="2">
        <v>3.57</v>
      </c>
      <c r="G28" s="2">
        <v>-0.72</v>
      </c>
      <c r="H28" s="2">
        <v>1.91</v>
      </c>
      <c r="I28" s="2">
        <v>-675.99</v>
      </c>
      <c r="J28" s="2">
        <v>-321.66000000000003</v>
      </c>
      <c r="K28" s="2">
        <v>-4.1500000000000004</v>
      </c>
      <c r="L28" s="2">
        <v>-1.62</v>
      </c>
      <c r="M28" s="2">
        <v>21.09</v>
      </c>
      <c r="N28" s="2">
        <v>22.29</v>
      </c>
      <c r="O28" s="2">
        <v>12</v>
      </c>
      <c r="P28" s="2">
        <v>22.16</v>
      </c>
      <c r="Q28" s="2" t="s">
        <v>35</v>
      </c>
      <c r="R28" s="2" t="s">
        <v>35</v>
      </c>
      <c r="S28" s="2">
        <v>3.8</v>
      </c>
      <c r="T28" s="2">
        <v>7.66</v>
      </c>
    </row>
    <row r="29" spans="1:20" ht="30" customHeight="1" x14ac:dyDescent="0.2">
      <c r="A29" s="2" t="s">
        <v>38</v>
      </c>
      <c r="B29" s="12">
        <v>1077898575</v>
      </c>
      <c r="C29" s="2">
        <v>5.95</v>
      </c>
      <c r="D29" s="2">
        <v>8.89</v>
      </c>
      <c r="E29" s="2">
        <v>2.35</v>
      </c>
      <c r="F29" s="2">
        <v>6.51</v>
      </c>
      <c r="G29" s="2">
        <v>22.19</v>
      </c>
      <c r="H29" s="2">
        <v>24.45</v>
      </c>
      <c r="I29" s="2">
        <v>-120.1</v>
      </c>
      <c r="J29" s="2">
        <v>-32.729999999999997</v>
      </c>
      <c r="K29" s="2">
        <v>-5.38</v>
      </c>
      <c r="L29" s="2">
        <v>-3.65</v>
      </c>
      <c r="M29" s="2">
        <v>4.3099999999999996</v>
      </c>
      <c r="N29" s="2">
        <v>4.54</v>
      </c>
      <c r="O29" s="2">
        <v>2.94</v>
      </c>
      <c r="P29" s="2">
        <v>4.55</v>
      </c>
      <c r="Q29" s="2" t="s">
        <v>35</v>
      </c>
      <c r="R29" s="2" t="s">
        <v>35</v>
      </c>
      <c r="S29" s="2">
        <v>4.82</v>
      </c>
      <c r="T29" s="2">
        <v>8.19</v>
      </c>
    </row>
    <row r="30" spans="1:20" ht="30" customHeight="1" x14ac:dyDescent="0.2">
      <c r="A30" s="2" t="s">
        <v>39</v>
      </c>
      <c r="B30" s="12">
        <v>1057922733</v>
      </c>
      <c r="C30" s="2">
        <v>3.44</v>
      </c>
      <c r="D30" s="2">
        <v>7.17</v>
      </c>
      <c r="E30" s="2">
        <v>1.38</v>
      </c>
      <c r="F30" s="2">
        <v>5.61</v>
      </c>
      <c r="G30" s="2">
        <v>-1.79</v>
      </c>
      <c r="H30" s="2">
        <v>1.71</v>
      </c>
      <c r="I30" s="2">
        <v>-67.25</v>
      </c>
      <c r="J30" s="2">
        <v>-143.11000000000001</v>
      </c>
      <c r="K30" s="2">
        <v>-8.14</v>
      </c>
      <c r="L30" s="2">
        <v>-5.12</v>
      </c>
      <c r="M30" s="2">
        <v>18.149999999999999</v>
      </c>
      <c r="N30" s="2">
        <v>22.15</v>
      </c>
      <c r="O30" s="2">
        <v>4.59</v>
      </c>
      <c r="P30" s="2">
        <v>11.98</v>
      </c>
      <c r="Q30" s="2" t="s">
        <v>35</v>
      </c>
      <c r="R30" s="2" t="s">
        <v>35</v>
      </c>
      <c r="S30" s="2">
        <v>3.84</v>
      </c>
      <c r="T30" s="2">
        <v>7.63</v>
      </c>
    </row>
    <row r="31" spans="1:20" ht="30" customHeight="1" x14ac:dyDescent="0.2">
      <c r="A31" s="2" t="s">
        <v>40</v>
      </c>
      <c r="B31" s="12">
        <v>1038225823</v>
      </c>
      <c r="C31" s="2">
        <v>6.08</v>
      </c>
      <c r="D31" s="2">
        <v>12.54</v>
      </c>
      <c r="E31" s="2">
        <v>11.78</v>
      </c>
      <c r="F31" s="2">
        <v>14.69</v>
      </c>
      <c r="G31" s="2">
        <v>16.739999999999998</v>
      </c>
      <c r="H31" s="2">
        <v>21.34</v>
      </c>
      <c r="I31" s="3">
        <v>-1112.97</v>
      </c>
      <c r="J31" s="2">
        <v>-708.59</v>
      </c>
      <c r="K31" s="2" t="s">
        <v>35</v>
      </c>
      <c r="L31" s="2" t="s">
        <v>35</v>
      </c>
      <c r="M31" s="2">
        <v>18</v>
      </c>
      <c r="N31" s="2">
        <v>16.600000000000001</v>
      </c>
      <c r="O31" s="2">
        <v>6.99</v>
      </c>
      <c r="P31" s="2">
        <v>18.22</v>
      </c>
      <c r="Q31" s="2" t="s">
        <v>35</v>
      </c>
      <c r="R31" s="2" t="s">
        <v>35</v>
      </c>
      <c r="S31" s="2">
        <v>8.85</v>
      </c>
      <c r="T31" s="2">
        <v>12.19</v>
      </c>
    </row>
    <row r="32" spans="1:20" ht="30" customHeight="1" x14ac:dyDescent="0.2">
      <c r="A32" s="2" t="s">
        <v>41</v>
      </c>
      <c r="B32" s="12">
        <v>1018665080</v>
      </c>
      <c r="C32" s="2">
        <v>6.5</v>
      </c>
      <c r="D32" s="2">
        <v>14.5</v>
      </c>
      <c r="E32" s="2">
        <v>12.19</v>
      </c>
      <c r="F32" s="2">
        <v>23.85</v>
      </c>
      <c r="G32" s="2">
        <v>10.62</v>
      </c>
      <c r="H32" s="2">
        <v>15.18</v>
      </c>
      <c r="I32" s="2">
        <v>-130.84</v>
      </c>
      <c r="J32" s="2">
        <v>-261.79000000000002</v>
      </c>
      <c r="K32" s="2" t="s">
        <v>35</v>
      </c>
      <c r="L32" s="2" t="s">
        <v>35</v>
      </c>
      <c r="M32" s="2">
        <v>13.88</v>
      </c>
      <c r="N32" s="2">
        <v>18.21</v>
      </c>
      <c r="O32" s="2">
        <v>20.85</v>
      </c>
      <c r="P32" s="2">
        <v>21.92</v>
      </c>
      <c r="Q32" s="2" t="s">
        <v>35</v>
      </c>
      <c r="R32" s="2" t="s">
        <v>35</v>
      </c>
      <c r="S32" s="2">
        <v>6.18</v>
      </c>
      <c r="T32" s="2">
        <v>14.69</v>
      </c>
    </row>
    <row r="33" spans="1:20" ht="30" customHeight="1" x14ac:dyDescent="0.2">
      <c r="A33" s="2" t="s">
        <v>42</v>
      </c>
      <c r="B33" s="12">
        <v>999133762</v>
      </c>
      <c r="C33" s="2">
        <v>2.99</v>
      </c>
      <c r="D33" s="2">
        <v>9.68</v>
      </c>
      <c r="E33" s="2">
        <v>11.25</v>
      </c>
      <c r="F33" s="2">
        <v>18.27</v>
      </c>
      <c r="G33" s="2">
        <v>9.1</v>
      </c>
      <c r="H33" s="2">
        <v>14.52</v>
      </c>
      <c r="I33" s="2">
        <v>-175.05</v>
      </c>
      <c r="J33" s="2">
        <v>-121.5</v>
      </c>
      <c r="K33" s="2" t="s">
        <v>35</v>
      </c>
      <c r="L33" s="2" t="s">
        <v>35</v>
      </c>
      <c r="M33" s="2">
        <v>-2.33</v>
      </c>
      <c r="N33" s="2">
        <v>14.05</v>
      </c>
      <c r="O33" s="2">
        <v>13.2</v>
      </c>
      <c r="P33" s="2">
        <v>14.48</v>
      </c>
      <c r="Q33" s="2" t="s">
        <v>35</v>
      </c>
      <c r="R33" s="2" t="s">
        <v>35</v>
      </c>
      <c r="S33" s="2">
        <v>4.05</v>
      </c>
      <c r="T33" s="2">
        <v>10.79</v>
      </c>
    </row>
    <row r="34" spans="1:20" ht="30" customHeight="1" x14ac:dyDescent="0.2">
      <c r="A34" s="2" t="s">
        <v>43</v>
      </c>
      <c r="B34" s="12">
        <v>979678458</v>
      </c>
      <c r="C34" s="2">
        <v>7.77</v>
      </c>
      <c r="D34" s="2">
        <v>17.25</v>
      </c>
      <c r="E34" s="2">
        <v>4.6399999999999997</v>
      </c>
      <c r="F34" s="2">
        <v>13.4</v>
      </c>
      <c r="G34" s="2">
        <v>4.7</v>
      </c>
      <c r="H34" s="2">
        <v>12.88</v>
      </c>
      <c r="I34" s="2">
        <v>-165.81</v>
      </c>
      <c r="J34" s="2">
        <v>-150.87</v>
      </c>
      <c r="K34" s="2" t="s">
        <v>35</v>
      </c>
      <c r="L34" s="2" t="s">
        <v>35</v>
      </c>
      <c r="M34" s="2">
        <v>6.29</v>
      </c>
      <c r="N34" s="2">
        <v>10.8</v>
      </c>
      <c r="O34" s="2">
        <v>-2.44</v>
      </c>
      <c r="P34" s="2">
        <v>11.09</v>
      </c>
      <c r="Q34" s="2" t="s">
        <v>35</v>
      </c>
      <c r="R34" s="2" t="s">
        <v>35</v>
      </c>
      <c r="S34" s="2">
        <v>7.55</v>
      </c>
      <c r="T34" s="2">
        <v>15.7</v>
      </c>
    </row>
    <row r="35" spans="1:20" ht="30" customHeight="1" x14ac:dyDescent="0.2">
      <c r="A35" s="2" t="s">
        <v>44</v>
      </c>
      <c r="B35" s="12">
        <v>960301044</v>
      </c>
      <c r="C35" s="2">
        <v>6.09</v>
      </c>
      <c r="D35" s="2">
        <v>15.26</v>
      </c>
      <c r="E35" s="2">
        <v>7.8</v>
      </c>
      <c r="F35" s="2">
        <v>18.5</v>
      </c>
      <c r="G35" s="2">
        <v>12.12</v>
      </c>
      <c r="H35" s="2">
        <v>26.25</v>
      </c>
      <c r="I35" s="2">
        <v>59.2</v>
      </c>
      <c r="J35" s="2">
        <v>59.63</v>
      </c>
      <c r="K35" s="2" t="s">
        <v>35</v>
      </c>
      <c r="L35" s="2" t="s">
        <v>35</v>
      </c>
      <c r="M35" s="2">
        <v>31.4</v>
      </c>
      <c r="N35" s="2">
        <v>28.67</v>
      </c>
      <c r="O35" s="2">
        <v>28.13</v>
      </c>
      <c r="P35" s="2">
        <v>38.43</v>
      </c>
      <c r="Q35" s="2" t="s">
        <v>35</v>
      </c>
      <c r="R35" s="2" t="s">
        <v>35</v>
      </c>
      <c r="S35" s="2">
        <v>7.57</v>
      </c>
      <c r="T35" s="2">
        <v>17.32</v>
      </c>
    </row>
    <row r="36" spans="1:20" ht="30" customHeight="1" x14ac:dyDescent="0.2">
      <c r="A36" s="2" t="s">
        <v>45</v>
      </c>
      <c r="B36" s="12">
        <v>941163767</v>
      </c>
      <c r="C36" s="2">
        <v>4.8600000000000003</v>
      </c>
      <c r="D36" s="2">
        <v>16.21</v>
      </c>
      <c r="E36" s="2">
        <v>1.38</v>
      </c>
      <c r="F36" s="2">
        <v>11.26</v>
      </c>
      <c r="G36" s="2">
        <v>5.76</v>
      </c>
      <c r="H36" s="2">
        <v>15.77</v>
      </c>
      <c r="I36" s="2">
        <v>-664.22</v>
      </c>
      <c r="J36" s="2">
        <v>-463.9</v>
      </c>
      <c r="K36" s="2" t="s">
        <v>35</v>
      </c>
      <c r="L36" s="2" t="s">
        <v>35</v>
      </c>
      <c r="M36" s="2">
        <v>13.04</v>
      </c>
      <c r="N36" s="2">
        <v>17.95</v>
      </c>
      <c r="O36" s="2">
        <v>22.6</v>
      </c>
      <c r="P36" s="2">
        <v>21.76</v>
      </c>
      <c r="Q36" s="2" t="s">
        <v>35</v>
      </c>
      <c r="R36" s="2" t="s">
        <v>35</v>
      </c>
      <c r="S36" s="2">
        <v>6.66</v>
      </c>
      <c r="T36" s="2">
        <v>17.3</v>
      </c>
    </row>
    <row r="37" spans="1:20" ht="30" customHeight="1" x14ac:dyDescent="0.2">
      <c r="A37" s="2" t="s">
        <v>46</v>
      </c>
      <c r="B37" s="12">
        <v>922118387</v>
      </c>
      <c r="C37" s="2">
        <v>4.3499999999999996</v>
      </c>
      <c r="D37" s="2">
        <v>14.57</v>
      </c>
      <c r="E37" s="2">
        <v>5.94</v>
      </c>
      <c r="F37" s="2">
        <v>16</v>
      </c>
      <c r="G37" s="2">
        <v>-0.83</v>
      </c>
      <c r="H37" s="2">
        <v>8.56</v>
      </c>
      <c r="I37" s="2">
        <v>-120.82</v>
      </c>
      <c r="J37" s="2">
        <v>-146.57</v>
      </c>
      <c r="K37" s="2" t="s">
        <v>35</v>
      </c>
      <c r="L37" s="2" t="s">
        <v>35</v>
      </c>
      <c r="M37" s="2">
        <v>13.78</v>
      </c>
      <c r="N37" s="2">
        <v>27.98</v>
      </c>
      <c r="O37" s="2">
        <v>19.27</v>
      </c>
      <c r="P37" s="2">
        <v>17.809999999999999</v>
      </c>
      <c r="Q37" s="2" t="s">
        <v>35</v>
      </c>
      <c r="R37" s="2" t="s">
        <v>35</v>
      </c>
      <c r="S37" s="2">
        <v>4.75</v>
      </c>
      <c r="T37" s="2">
        <v>15.08</v>
      </c>
    </row>
    <row r="38" spans="1:20" ht="30" customHeight="1" x14ac:dyDescent="0.2">
      <c r="A38" s="2" t="s">
        <v>47</v>
      </c>
      <c r="B38" s="12">
        <v>902957070</v>
      </c>
      <c r="C38" s="2">
        <v>2.58</v>
      </c>
      <c r="D38" s="2">
        <v>12.75</v>
      </c>
      <c r="E38" s="2">
        <v>3.45</v>
      </c>
      <c r="F38" s="2">
        <v>13.24</v>
      </c>
      <c r="G38" s="2">
        <v>10.6</v>
      </c>
      <c r="H38" s="2">
        <v>17.3</v>
      </c>
      <c r="I38" s="3">
        <v>-1123.25</v>
      </c>
      <c r="J38" s="2">
        <v>385.8</v>
      </c>
      <c r="K38" s="2" t="s">
        <v>35</v>
      </c>
      <c r="L38" s="2" t="s">
        <v>35</v>
      </c>
      <c r="M38" s="2">
        <v>4.8899999999999997</v>
      </c>
      <c r="N38" s="2">
        <v>19.66</v>
      </c>
      <c r="O38" s="2">
        <v>21.13</v>
      </c>
      <c r="P38" s="2">
        <v>29.78</v>
      </c>
      <c r="Q38" s="2" t="s">
        <v>35</v>
      </c>
      <c r="R38" s="2" t="s">
        <v>35</v>
      </c>
      <c r="S38" s="2">
        <v>5.48</v>
      </c>
      <c r="T38" s="2">
        <v>14.94</v>
      </c>
    </row>
    <row r="39" spans="1:20" ht="30" customHeight="1" x14ac:dyDescent="0.2">
      <c r="A39" s="2" t="s">
        <v>48</v>
      </c>
      <c r="B39" s="12">
        <v>883927600</v>
      </c>
      <c r="C39" s="2">
        <v>2.16</v>
      </c>
      <c r="D39" s="2">
        <v>14.86</v>
      </c>
      <c r="E39" s="2">
        <v>-0.17</v>
      </c>
      <c r="F39" s="2">
        <v>12.85</v>
      </c>
      <c r="G39" s="2">
        <v>-7.7</v>
      </c>
      <c r="H39" s="2">
        <v>8.35</v>
      </c>
      <c r="I39" s="2">
        <v>-111.89</v>
      </c>
      <c r="J39" s="2">
        <v>-49.02</v>
      </c>
      <c r="K39" s="2" t="s">
        <v>35</v>
      </c>
      <c r="L39" s="2" t="s">
        <v>35</v>
      </c>
      <c r="M39" s="2">
        <v>9.66</v>
      </c>
      <c r="N39" s="2">
        <v>38.44</v>
      </c>
      <c r="O39" s="2">
        <v>0.02</v>
      </c>
      <c r="P39" s="2">
        <v>15.51</v>
      </c>
      <c r="Q39" s="2" t="s">
        <v>35</v>
      </c>
      <c r="R39" s="2" t="s">
        <v>35</v>
      </c>
      <c r="S39" s="2">
        <v>1.06</v>
      </c>
      <c r="T39" s="2">
        <v>14.95</v>
      </c>
    </row>
    <row r="40" spans="1:20" ht="30" customHeight="1" x14ac:dyDescent="0.2">
      <c r="A40" s="2" t="s">
        <v>49</v>
      </c>
      <c r="B40" s="12">
        <v>864972221</v>
      </c>
      <c r="C40" s="2">
        <v>4.47</v>
      </c>
      <c r="D40" s="2">
        <v>14.91</v>
      </c>
      <c r="E40" s="2">
        <v>3.4</v>
      </c>
      <c r="F40" s="2">
        <v>13.98</v>
      </c>
      <c r="G40" s="2">
        <v>16.48</v>
      </c>
      <c r="H40" s="2">
        <v>23.95</v>
      </c>
      <c r="I40" s="2">
        <v>-6.21</v>
      </c>
      <c r="J40" s="2">
        <v>-35.880000000000003</v>
      </c>
      <c r="K40" s="2" t="s">
        <v>35</v>
      </c>
      <c r="L40" s="2" t="s">
        <v>35</v>
      </c>
      <c r="M40" s="2">
        <v>11.1</v>
      </c>
      <c r="N40" s="2">
        <v>17.41</v>
      </c>
      <c r="O40" s="2">
        <v>3.37</v>
      </c>
      <c r="P40" s="2">
        <v>21.1</v>
      </c>
      <c r="Q40" s="2" t="s">
        <v>35</v>
      </c>
      <c r="R40" s="2" t="s">
        <v>35</v>
      </c>
      <c r="S40" s="2">
        <v>5.53</v>
      </c>
      <c r="T40" s="2">
        <v>16.79</v>
      </c>
    </row>
    <row r="41" spans="1:20" ht="30" customHeight="1" x14ac:dyDescent="0.2">
      <c r="A41" s="2" t="s">
        <v>50</v>
      </c>
      <c r="B41" s="12">
        <v>846039529</v>
      </c>
      <c r="C41" s="2">
        <v>4.96</v>
      </c>
      <c r="D41" s="2">
        <v>11.69</v>
      </c>
      <c r="E41" s="2">
        <v>5.34</v>
      </c>
      <c r="F41" s="2">
        <v>14.48</v>
      </c>
      <c r="G41" s="2">
        <v>8.73</v>
      </c>
      <c r="H41" s="2">
        <v>19.78</v>
      </c>
      <c r="I41" s="2">
        <v>-33.56</v>
      </c>
      <c r="J41" s="2">
        <v>-3.19</v>
      </c>
      <c r="K41" s="2" t="s">
        <v>35</v>
      </c>
      <c r="L41" s="2" t="s">
        <v>35</v>
      </c>
      <c r="M41" s="2">
        <v>11.98</v>
      </c>
      <c r="N41" s="2">
        <v>33.56</v>
      </c>
      <c r="O41" s="2">
        <v>2.08</v>
      </c>
      <c r="P41" s="2">
        <v>25.62</v>
      </c>
      <c r="Q41" s="2" t="s">
        <v>35</v>
      </c>
      <c r="R41" s="2" t="s">
        <v>35</v>
      </c>
      <c r="S41" s="2">
        <v>5.95</v>
      </c>
      <c r="T41" s="2">
        <v>14.89</v>
      </c>
    </row>
    <row r="42" spans="1:20" ht="30" customHeight="1" x14ac:dyDescent="0.2">
      <c r="A42" s="2" t="s">
        <v>51</v>
      </c>
      <c r="B42" s="12">
        <v>827342990</v>
      </c>
      <c r="C42" s="2">
        <v>6.24</v>
      </c>
      <c r="D42" s="2">
        <v>16.440000000000001</v>
      </c>
      <c r="E42" s="2">
        <v>5.48</v>
      </c>
      <c r="F42" s="2">
        <v>15.42</v>
      </c>
      <c r="G42" s="2">
        <v>3.46</v>
      </c>
      <c r="H42" s="2">
        <v>14.42</v>
      </c>
      <c r="I42" s="2">
        <v>302.27</v>
      </c>
      <c r="J42" s="2">
        <v>132.47</v>
      </c>
      <c r="K42" s="2" t="s">
        <v>35</v>
      </c>
      <c r="L42" s="2" t="s">
        <v>35</v>
      </c>
      <c r="M42" s="2">
        <v>7.47</v>
      </c>
      <c r="N42" s="2">
        <v>27.77</v>
      </c>
      <c r="O42" s="2">
        <v>9.19</v>
      </c>
      <c r="P42" s="2">
        <v>26.73</v>
      </c>
      <c r="Q42" s="2" t="s">
        <v>35</v>
      </c>
      <c r="R42" s="2" t="s">
        <v>35</v>
      </c>
      <c r="S42" s="2">
        <v>9.6300000000000008</v>
      </c>
      <c r="T42" s="2">
        <v>18.649999999999999</v>
      </c>
    </row>
    <row r="43" spans="1:20" ht="30" customHeight="1" x14ac:dyDescent="0.2">
      <c r="A43" s="2" t="s">
        <v>52</v>
      </c>
      <c r="B43" s="12">
        <v>808931270</v>
      </c>
      <c r="C43" s="2">
        <v>3.43</v>
      </c>
      <c r="D43" s="2">
        <v>11.01</v>
      </c>
      <c r="E43" s="2">
        <v>8.19</v>
      </c>
      <c r="F43" s="2">
        <v>17.39</v>
      </c>
      <c r="G43" s="2">
        <v>11.05</v>
      </c>
      <c r="H43" s="2">
        <v>21.32</v>
      </c>
      <c r="I43" s="2">
        <v>-71.66</v>
      </c>
      <c r="J43" s="2">
        <v>-50.31</v>
      </c>
      <c r="K43" s="2" t="s">
        <v>35</v>
      </c>
      <c r="L43" s="2" t="s">
        <v>35</v>
      </c>
      <c r="M43" s="2">
        <v>12.73</v>
      </c>
      <c r="N43" s="2">
        <v>22.6</v>
      </c>
      <c r="O43" s="2">
        <v>-1.67</v>
      </c>
      <c r="P43" s="2">
        <v>12.97</v>
      </c>
      <c r="Q43" s="2" t="s">
        <v>35</v>
      </c>
      <c r="R43" s="2" t="s">
        <v>35</v>
      </c>
      <c r="S43" s="2">
        <v>3.97</v>
      </c>
      <c r="T43" s="2">
        <v>13.66</v>
      </c>
    </row>
    <row r="44" spans="1:20" ht="30" customHeight="1" x14ac:dyDescent="0.2">
      <c r="A44" s="2" t="s">
        <v>53</v>
      </c>
      <c r="B44" s="12">
        <v>790689978</v>
      </c>
      <c r="C44" s="2">
        <v>3.16</v>
      </c>
      <c r="D44" s="2">
        <v>12.17</v>
      </c>
      <c r="E44" s="2">
        <v>9.4</v>
      </c>
      <c r="F44" s="2">
        <v>18.239999999999998</v>
      </c>
      <c r="G44" s="2">
        <v>9.5299999999999994</v>
      </c>
      <c r="H44" s="2">
        <v>17.52</v>
      </c>
      <c r="I44" s="2">
        <v>-22.26</v>
      </c>
      <c r="J44" s="2">
        <v>-23.73</v>
      </c>
      <c r="K44" s="2" t="s">
        <v>35</v>
      </c>
      <c r="L44" s="2" t="s">
        <v>35</v>
      </c>
      <c r="M44" s="2">
        <v>5.43</v>
      </c>
      <c r="N44" s="2">
        <v>10.65</v>
      </c>
      <c r="O44" s="2">
        <v>17.079999999999998</v>
      </c>
      <c r="P44" s="2">
        <v>2.78</v>
      </c>
      <c r="Q44" s="2" t="s">
        <v>35</v>
      </c>
      <c r="R44" s="2" t="s">
        <v>35</v>
      </c>
      <c r="S44" s="2">
        <v>4.78</v>
      </c>
      <c r="T44" s="2">
        <v>11.89</v>
      </c>
    </row>
    <row r="45" spans="1:20" ht="30" customHeight="1" x14ac:dyDescent="0.2">
      <c r="A45" s="2" t="s">
        <v>54</v>
      </c>
      <c r="B45" s="12">
        <v>772647793</v>
      </c>
      <c r="C45" s="2">
        <v>4.17</v>
      </c>
      <c r="D45" s="2">
        <v>10.37</v>
      </c>
      <c r="E45" s="2">
        <v>10.54</v>
      </c>
      <c r="F45" s="2">
        <v>19.079999999999998</v>
      </c>
      <c r="G45" s="2">
        <v>4.6100000000000003</v>
      </c>
      <c r="H45" s="2">
        <v>17.98</v>
      </c>
      <c r="I45" s="2">
        <v>56.99</v>
      </c>
      <c r="J45" s="2">
        <v>114.6</v>
      </c>
      <c r="K45" s="2" t="s">
        <v>35</v>
      </c>
      <c r="L45" s="2" t="s">
        <v>35</v>
      </c>
      <c r="M45" s="2">
        <v>-6.31</v>
      </c>
      <c r="N45" s="2">
        <v>-5.65</v>
      </c>
      <c r="O45" s="2">
        <v>13.87</v>
      </c>
      <c r="P45" s="2">
        <v>11.65</v>
      </c>
      <c r="Q45" s="2" t="s">
        <v>35</v>
      </c>
      <c r="R45" s="2" t="s">
        <v>35</v>
      </c>
      <c r="S45" s="2">
        <v>5.25</v>
      </c>
      <c r="T45" s="2">
        <v>12.83</v>
      </c>
    </row>
    <row r="46" spans="1:20" ht="30" customHeight="1" x14ac:dyDescent="0.2">
      <c r="A46" s="2" t="s">
        <v>55</v>
      </c>
      <c r="B46" s="12">
        <v>754875449</v>
      </c>
      <c r="C46" s="2">
        <v>2.88</v>
      </c>
      <c r="D46" s="2">
        <v>10.65</v>
      </c>
      <c r="E46" s="2">
        <v>7.44</v>
      </c>
      <c r="F46" s="2">
        <v>14.99</v>
      </c>
      <c r="G46" s="2">
        <v>1.67</v>
      </c>
      <c r="H46" s="2">
        <v>13.58</v>
      </c>
      <c r="I46" s="2">
        <v>132.18</v>
      </c>
      <c r="J46" s="2">
        <v>481.3</v>
      </c>
      <c r="K46" s="2" t="s">
        <v>35</v>
      </c>
      <c r="L46" s="2" t="s">
        <v>35</v>
      </c>
      <c r="M46" s="2">
        <v>7.3</v>
      </c>
      <c r="N46" s="2">
        <v>20.6</v>
      </c>
      <c r="O46" s="2">
        <v>-14.33</v>
      </c>
      <c r="P46" s="2">
        <v>10.23</v>
      </c>
      <c r="Q46" s="2" t="s">
        <v>35</v>
      </c>
      <c r="R46" s="2" t="s">
        <v>35</v>
      </c>
      <c r="S46" s="2">
        <v>3.82</v>
      </c>
      <c r="T46" s="2">
        <v>12.05</v>
      </c>
    </row>
    <row r="47" spans="1:20" ht="30" customHeight="1" x14ac:dyDescent="0.2">
      <c r="A47" s="2" t="s">
        <v>56</v>
      </c>
      <c r="B47" s="12">
        <v>737372681</v>
      </c>
      <c r="C47" s="2">
        <v>7.76</v>
      </c>
      <c r="D47" s="2">
        <v>17.079999999999998</v>
      </c>
      <c r="E47" s="2">
        <v>4.47</v>
      </c>
      <c r="F47" s="2">
        <v>15.53</v>
      </c>
      <c r="G47" s="2">
        <v>7.33</v>
      </c>
      <c r="H47" s="2">
        <v>14</v>
      </c>
      <c r="I47" s="2">
        <v>-58.1</v>
      </c>
      <c r="J47" s="2">
        <v>-86.7</v>
      </c>
      <c r="K47" s="2" t="s">
        <v>35</v>
      </c>
      <c r="L47" s="2" t="s">
        <v>35</v>
      </c>
      <c r="M47" s="2">
        <v>-0.91</v>
      </c>
      <c r="N47" s="2">
        <v>13.63</v>
      </c>
      <c r="O47" s="2">
        <v>21.98</v>
      </c>
      <c r="P47" s="2">
        <v>12.32</v>
      </c>
      <c r="Q47" s="2" t="s">
        <v>35</v>
      </c>
      <c r="R47" s="2" t="s">
        <v>35</v>
      </c>
      <c r="S47" s="2">
        <v>7.29</v>
      </c>
      <c r="T47" s="2">
        <v>16.47</v>
      </c>
    </row>
    <row r="48" spans="1:20" ht="30" customHeight="1" x14ac:dyDescent="0.2">
      <c r="A48" s="2" t="s">
        <v>57</v>
      </c>
      <c r="B48" s="12">
        <v>720313473</v>
      </c>
      <c r="C48" s="2">
        <v>1</v>
      </c>
      <c r="D48" s="2">
        <v>10.39</v>
      </c>
      <c r="E48" s="2">
        <v>9.6199999999999992</v>
      </c>
      <c r="F48" s="2">
        <v>18.2</v>
      </c>
      <c r="G48" s="2">
        <v>5.65</v>
      </c>
      <c r="H48" s="2">
        <v>18.309999999999999</v>
      </c>
      <c r="I48" s="2">
        <v>-24.3</v>
      </c>
      <c r="J48" s="2">
        <v>-19.059999999999999</v>
      </c>
      <c r="K48" s="2" t="s">
        <v>35</v>
      </c>
      <c r="L48" s="2" t="s">
        <v>35</v>
      </c>
      <c r="M48" s="2">
        <v>6.02</v>
      </c>
      <c r="N48" s="2">
        <v>12.74</v>
      </c>
      <c r="O48" s="2">
        <v>3.45</v>
      </c>
      <c r="P48" s="2">
        <v>6.26</v>
      </c>
      <c r="Q48" s="2" t="s">
        <v>35</v>
      </c>
      <c r="R48" s="2" t="s">
        <v>35</v>
      </c>
      <c r="S48" s="2">
        <v>3.48</v>
      </c>
      <c r="T48" s="2">
        <v>11.85</v>
      </c>
    </row>
    <row r="49" spans="1:20" ht="30" customHeight="1" x14ac:dyDescent="0.2">
      <c r="A49" s="2" t="s">
        <v>58</v>
      </c>
      <c r="B49" s="12">
        <v>703696250</v>
      </c>
      <c r="C49" s="2">
        <v>4.3499999999999996</v>
      </c>
      <c r="D49" s="2">
        <v>14.91</v>
      </c>
      <c r="E49" s="2">
        <v>4.21</v>
      </c>
      <c r="F49" s="2">
        <v>17.170000000000002</v>
      </c>
      <c r="G49" s="2">
        <v>-0.13</v>
      </c>
      <c r="H49" s="2">
        <v>18.62</v>
      </c>
      <c r="I49" s="3">
        <v>2250.69</v>
      </c>
      <c r="J49" s="3">
        <v>-5616.67</v>
      </c>
      <c r="K49" s="2" t="s">
        <v>35</v>
      </c>
      <c r="L49" s="2" t="s">
        <v>35</v>
      </c>
      <c r="M49" s="2">
        <v>-0.82</v>
      </c>
      <c r="N49" s="2">
        <v>13.59</v>
      </c>
      <c r="O49" s="2">
        <v>10.029999999999999</v>
      </c>
      <c r="P49" s="2">
        <v>8.92</v>
      </c>
      <c r="Q49" s="2" t="s">
        <v>35</v>
      </c>
      <c r="R49" s="2" t="s">
        <v>35</v>
      </c>
      <c r="S49" s="2">
        <v>6.01</v>
      </c>
      <c r="T49" s="2">
        <v>17.48</v>
      </c>
    </row>
    <row r="50" spans="1:20" ht="30" customHeight="1" x14ac:dyDescent="0.2">
      <c r="A50" s="2" t="s">
        <v>59</v>
      </c>
      <c r="B50" s="12">
        <v>687354025</v>
      </c>
      <c r="C50" s="2">
        <v>9</v>
      </c>
      <c r="D50" s="2">
        <v>22.24</v>
      </c>
      <c r="E50" s="2">
        <v>4.6399999999999997</v>
      </c>
      <c r="F50" s="2">
        <v>16.100000000000001</v>
      </c>
      <c r="G50" s="2">
        <v>2.38</v>
      </c>
      <c r="H50" s="2">
        <v>15.05</v>
      </c>
      <c r="I50" s="2">
        <v>-93.54</v>
      </c>
      <c r="J50" s="2">
        <v>-104.45</v>
      </c>
      <c r="K50" s="2" t="s">
        <v>35</v>
      </c>
      <c r="L50" s="2" t="s">
        <v>35</v>
      </c>
      <c r="M50" s="2">
        <v>5.24</v>
      </c>
      <c r="N50" s="2">
        <v>8.26</v>
      </c>
      <c r="O50" s="2">
        <v>14.35</v>
      </c>
      <c r="P50" s="2">
        <v>34.69</v>
      </c>
      <c r="Q50" s="2" t="s">
        <v>35</v>
      </c>
      <c r="R50" s="2" t="s">
        <v>35</v>
      </c>
      <c r="S50" s="2">
        <v>6.74</v>
      </c>
      <c r="T50" s="2">
        <v>19.02</v>
      </c>
    </row>
    <row r="51" spans="1:20" ht="30" customHeight="1" x14ac:dyDescent="0.2">
      <c r="A51" s="2" t="s">
        <v>60</v>
      </c>
      <c r="B51" s="12">
        <v>671155747</v>
      </c>
      <c r="C51" s="2">
        <v>-2.2400000000000002</v>
      </c>
      <c r="D51" s="2">
        <v>8.59</v>
      </c>
      <c r="E51" s="2">
        <v>6.26</v>
      </c>
      <c r="F51" s="2">
        <v>14.95</v>
      </c>
      <c r="G51" s="2">
        <v>-0.06</v>
      </c>
      <c r="H51" s="2">
        <v>15.1</v>
      </c>
      <c r="I51" s="2">
        <v>-28.62</v>
      </c>
      <c r="J51" s="2">
        <v>9.09</v>
      </c>
      <c r="K51" s="2" t="s">
        <v>35</v>
      </c>
      <c r="L51" s="2" t="s">
        <v>35</v>
      </c>
      <c r="M51" s="2">
        <v>11.15</v>
      </c>
      <c r="N51" s="2">
        <v>17.22</v>
      </c>
      <c r="O51" s="2">
        <v>19.32</v>
      </c>
      <c r="P51" s="2">
        <v>35.979999999999997</v>
      </c>
      <c r="Q51" s="2" t="s">
        <v>35</v>
      </c>
      <c r="R51" s="2" t="s">
        <v>35</v>
      </c>
      <c r="S51" s="2">
        <v>-5.24</v>
      </c>
      <c r="T51" s="2">
        <v>9.67</v>
      </c>
    </row>
    <row r="52" spans="1:20" ht="30" customHeight="1" x14ac:dyDescent="0.2">
      <c r="A52" s="2" t="s">
        <v>61</v>
      </c>
      <c r="B52" s="12">
        <v>655728229</v>
      </c>
      <c r="C52" s="2">
        <v>6.11</v>
      </c>
      <c r="D52" s="2">
        <v>8.76</v>
      </c>
      <c r="E52" s="2">
        <v>7.4</v>
      </c>
      <c r="F52" s="2">
        <v>11.02</v>
      </c>
      <c r="G52" s="2">
        <v>5.17</v>
      </c>
      <c r="H52" s="2">
        <v>11.79</v>
      </c>
      <c r="I52" s="2">
        <v>93.21</v>
      </c>
      <c r="J52" s="2">
        <v>53.08</v>
      </c>
      <c r="K52" s="2" t="s">
        <v>35</v>
      </c>
      <c r="L52" s="2" t="s">
        <v>35</v>
      </c>
      <c r="M52" s="2">
        <v>7.8</v>
      </c>
      <c r="N52" s="2">
        <v>7.15</v>
      </c>
      <c r="O52" s="2">
        <v>0.05</v>
      </c>
      <c r="P52" s="2">
        <v>13.9</v>
      </c>
      <c r="Q52" s="2" t="s">
        <v>35</v>
      </c>
      <c r="R52" s="2" t="s">
        <v>35</v>
      </c>
      <c r="S52" s="2">
        <v>5.71</v>
      </c>
      <c r="T52" s="2">
        <v>8.31</v>
      </c>
    </row>
    <row r="53" spans="1:20" ht="30" customHeight="1" x14ac:dyDescent="0.2">
      <c r="A53" s="2" t="s">
        <v>62</v>
      </c>
      <c r="B53" s="12">
        <v>640801103</v>
      </c>
      <c r="C53" s="2">
        <v>8.15</v>
      </c>
      <c r="D53" s="2">
        <v>15.15</v>
      </c>
      <c r="E53" s="2">
        <v>3.42</v>
      </c>
      <c r="F53" s="2">
        <v>6.7</v>
      </c>
      <c r="G53" s="2">
        <v>13.52</v>
      </c>
      <c r="H53" s="2">
        <v>15.15</v>
      </c>
      <c r="I53" s="2">
        <v>48.02</v>
      </c>
      <c r="J53" s="2">
        <v>180.77</v>
      </c>
      <c r="K53" s="2" t="s">
        <v>35</v>
      </c>
      <c r="L53" s="2" t="s">
        <v>35</v>
      </c>
      <c r="M53" s="2">
        <v>-3.57</v>
      </c>
      <c r="N53" s="2">
        <v>8.16</v>
      </c>
      <c r="O53" s="2">
        <v>27.4</v>
      </c>
      <c r="P53" s="2">
        <v>16.079999999999998</v>
      </c>
      <c r="Q53" s="2" t="s">
        <v>35</v>
      </c>
      <c r="R53" s="2" t="s">
        <v>35</v>
      </c>
      <c r="S53" s="2">
        <v>7.25</v>
      </c>
      <c r="T53" s="2">
        <v>13.3</v>
      </c>
    </row>
    <row r="54" spans="1:20" ht="30" customHeight="1" x14ac:dyDescent="0.2">
      <c r="A54" s="2" t="s">
        <v>63</v>
      </c>
      <c r="B54" s="12">
        <v>625861883</v>
      </c>
      <c r="C54" s="2">
        <v>1.99</v>
      </c>
      <c r="D54" s="2">
        <v>3.97</v>
      </c>
      <c r="E54" s="2">
        <v>7.49</v>
      </c>
      <c r="F54" s="2">
        <v>11.06</v>
      </c>
      <c r="G54" s="2">
        <v>10.93</v>
      </c>
      <c r="H54" s="2">
        <v>12.45</v>
      </c>
      <c r="I54" s="2">
        <v>250.61</v>
      </c>
      <c r="J54" s="2">
        <v>-45.24</v>
      </c>
      <c r="K54" s="2" t="s">
        <v>35</v>
      </c>
      <c r="L54" s="2" t="s">
        <v>35</v>
      </c>
      <c r="M54" s="2">
        <v>19.82</v>
      </c>
      <c r="N54" s="2">
        <v>27.58</v>
      </c>
      <c r="O54" s="2">
        <v>1.9</v>
      </c>
      <c r="P54" s="2">
        <v>-0.88</v>
      </c>
      <c r="Q54" s="2" t="s">
        <v>35</v>
      </c>
      <c r="R54" s="2" t="s">
        <v>35</v>
      </c>
      <c r="S54" s="2">
        <v>1.66</v>
      </c>
      <c r="T54" s="2">
        <v>7.74</v>
      </c>
    </row>
    <row r="55" spans="1:20" ht="30" customHeight="1" x14ac:dyDescent="0.2">
      <c r="A55" s="2" t="s">
        <v>64</v>
      </c>
      <c r="B55" s="12">
        <v>611309535</v>
      </c>
      <c r="C55" s="2">
        <v>5.68</v>
      </c>
      <c r="D55" s="2">
        <v>2.27</v>
      </c>
      <c r="E55" s="2">
        <v>9.66</v>
      </c>
      <c r="F55" s="2">
        <v>17.87</v>
      </c>
      <c r="G55" s="2">
        <v>-1.79</v>
      </c>
      <c r="H55" s="2">
        <v>14.53</v>
      </c>
      <c r="I55" s="2">
        <v>-85.4</v>
      </c>
      <c r="J55" s="2">
        <v>-66.739999999999995</v>
      </c>
      <c r="K55" s="2" t="s">
        <v>35</v>
      </c>
      <c r="L55" s="2" t="s">
        <v>35</v>
      </c>
      <c r="M55" s="2">
        <v>16.45</v>
      </c>
      <c r="N55" s="2">
        <v>25.48</v>
      </c>
      <c r="O55" s="2">
        <v>1.28</v>
      </c>
      <c r="P55" s="2">
        <v>18.52</v>
      </c>
      <c r="Q55" s="2" t="s">
        <v>35</v>
      </c>
      <c r="R55" s="2" t="s">
        <v>35</v>
      </c>
      <c r="S55" s="2">
        <v>9.15</v>
      </c>
      <c r="T55" s="2">
        <v>7.35</v>
      </c>
    </row>
    <row r="56" spans="1:20" ht="30" customHeight="1" x14ac:dyDescent="0.2">
      <c r="A56" s="2" t="s">
        <v>65</v>
      </c>
      <c r="B56" s="12">
        <v>597041391</v>
      </c>
      <c r="C56" s="2">
        <v>-0.08</v>
      </c>
      <c r="D56" s="2">
        <v>21.16</v>
      </c>
      <c r="E56" s="2">
        <v>-3.74</v>
      </c>
      <c r="F56" s="2">
        <v>21.33</v>
      </c>
      <c r="G56" s="2">
        <v>3.85</v>
      </c>
      <c r="H56" s="2">
        <v>23.22</v>
      </c>
      <c r="I56" s="2">
        <v>26.01</v>
      </c>
      <c r="J56" s="2">
        <v>149.63</v>
      </c>
      <c r="K56" s="2" t="s">
        <v>35</v>
      </c>
      <c r="L56" s="2" t="s">
        <v>35</v>
      </c>
      <c r="M56" s="2">
        <v>8.1999999999999993</v>
      </c>
      <c r="N56" s="2">
        <v>35.51</v>
      </c>
      <c r="O56" s="2">
        <v>-12.76</v>
      </c>
      <c r="P56" s="2">
        <v>50.47</v>
      </c>
      <c r="Q56" s="2" t="s">
        <v>35</v>
      </c>
      <c r="R56" s="2" t="s">
        <v>35</v>
      </c>
      <c r="S56" s="2">
        <v>1.19</v>
      </c>
      <c r="T56" s="2">
        <v>18.05</v>
      </c>
    </row>
    <row r="57" spans="1:20" ht="30" customHeight="1" x14ac:dyDescent="0.2">
      <c r="A57" s="2" t="s">
        <v>66</v>
      </c>
      <c r="B57" s="12">
        <v>583465598</v>
      </c>
      <c r="C57" s="2">
        <v>2.4500000000000002</v>
      </c>
      <c r="D57" s="2">
        <v>20.55</v>
      </c>
      <c r="E57" s="2">
        <v>-0.14000000000000001</v>
      </c>
      <c r="F57" s="2">
        <v>9.6300000000000008</v>
      </c>
      <c r="G57" s="2">
        <v>-2.64</v>
      </c>
      <c r="H57" s="2">
        <v>13.54</v>
      </c>
      <c r="I57" s="2">
        <v>263.76</v>
      </c>
      <c r="J57" s="2">
        <v>36.22</v>
      </c>
      <c r="K57" s="2" t="s">
        <v>35</v>
      </c>
      <c r="L57" s="2" t="s">
        <v>35</v>
      </c>
      <c r="M57" s="2">
        <v>4.96</v>
      </c>
      <c r="N57" s="2">
        <v>27.19</v>
      </c>
      <c r="O57" s="2">
        <v>8.08</v>
      </c>
      <c r="P57" s="2">
        <v>55</v>
      </c>
      <c r="Q57" s="2" t="s">
        <v>35</v>
      </c>
      <c r="R57" s="2" t="s">
        <v>35</v>
      </c>
      <c r="S57" s="2">
        <v>3.3</v>
      </c>
      <c r="T57" s="2">
        <v>21.71</v>
      </c>
    </row>
    <row r="58" spans="1:20" ht="30" customHeight="1" x14ac:dyDescent="0.2">
      <c r="A58" s="2" t="s">
        <v>67</v>
      </c>
      <c r="B58" s="12">
        <v>570482142</v>
      </c>
      <c r="C58" s="2">
        <v>0.67</v>
      </c>
      <c r="D58" s="2">
        <v>10.220000000000001</v>
      </c>
      <c r="E58" s="2">
        <v>0.96</v>
      </c>
      <c r="F58" s="2">
        <v>6.36</v>
      </c>
      <c r="G58" s="2">
        <v>4.3</v>
      </c>
      <c r="H58" s="2">
        <v>13.33</v>
      </c>
      <c r="I58" s="2">
        <v>-71.69</v>
      </c>
      <c r="J58" s="2">
        <v>5.09</v>
      </c>
      <c r="K58" s="2" t="s">
        <v>35</v>
      </c>
      <c r="L58" s="2" t="s">
        <v>35</v>
      </c>
      <c r="M58" s="2">
        <v>8.24</v>
      </c>
      <c r="N58" s="2">
        <v>21.06</v>
      </c>
      <c r="O58" s="2">
        <v>-1.89</v>
      </c>
      <c r="P58" s="2">
        <v>2.14</v>
      </c>
      <c r="Q58" s="2" t="s">
        <v>35</v>
      </c>
      <c r="R58" s="2" t="s">
        <v>35</v>
      </c>
      <c r="S58" s="2">
        <v>-0.55000000000000004</v>
      </c>
      <c r="T58" s="2">
        <v>10.23</v>
      </c>
    </row>
    <row r="59" spans="1:20" ht="30" customHeight="1" x14ac:dyDescent="0.2">
      <c r="A59" s="2" t="s">
        <v>68</v>
      </c>
      <c r="B59" s="12">
        <v>558096387</v>
      </c>
      <c r="C59" s="2">
        <v>1.95</v>
      </c>
      <c r="D59" s="2">
        <v>7.85</v>
      </c>
      <c r="E59" s="2">
        <v>9.8000000000000007</v>
      </c>
      <c r="F59" s="2">
        <v>15.75</v>
      </c>
      <c r="G59" s="2">
        <v>10.4</v>
      </c>
      <c r="H59" s="2">
        <v>14.29</v>
      </c>
      <c r="I59" s="2">
        <v>32.729999999999997</v>
      </c>
      <c r="J59" s="2">
        <v>4.76</v>
      </c>
      <c r="K59" s="2" t="s">
        <v>35</v>
      </c>
      <c r="L59" s="2" t="s">
        <v>35</v>
      </c>
      <c r="M59" s="2">
        <v>1.05</v>
      </c>
      <c r="N59" s="2">
        <v>3.78</v>
      </c>
      <c r="O59" s="2">
        <v>18.03</v>
      </c>
      <c r="P59" s="2">
        <v>10.46</v>
      </c>
      <c r="Q59" s="2" t="s">
        <v>35</v>
      </c>
      <c r="R59" s="2" t="s">
        <v>35</v>
      </c>
      <c r="S59" s="2">
        <v>1.64</v>
      </c>
      <c r="T59" s="2">
        <v>7.06</v>
      </c>
    </row>
    <row r="60" spans="1:20" ht="30" customHeight="1" x14ac:dyDescent="0.2">
      <c r="A60" s="2" t="s">
        <v>69</v>
      </c>
      <c r="B60" s="12">
        <v>545864268</v>
      </c>
      <c r="C60" s="2">
        <v>3.4</v>
      </c>
      <c r="D60" s="2">
        <v>6.09</v>
      </c>
      <c r="E60" s="2">
        <v>9.49</v>
      </c>
      <c r="F60" s="2">
        <v>11.77</v>
      </c>
      <c r="G60" s="2">
        <v>-5.55</v>
      </c>
      <c r="H60" s="2">
        <v>2.91</v>
      </c>
      <c r="I60" s="2">
        <v>19.13</v>
      </c>
      <c r="J60" s="2">
        <v>88.42</v>
      </c>
      <c r="K60" s="2" t="s">
        <v>35</v>
      </c>
      <c r="L60" s="2" t="s">
        <v>35</v>
      </c>
      <c r="M60" s="2">
        <v>31.56</v>
      </c>
      <c r="N60" s="2">
        <v>8.7799999999999994</v>
      </c>
      <c r="O60" s="2">
        <v>17.91</v>
      </c>
      <c r="P60" s="2">
        <v>2.77</v>
      </c>
      <c r="Q60" s="2" t="s">
        <v>35</v>
      </c>
      <c r="R60" s="2" t="s">
        <v>35</v>
      </c>
      <c r="S60" s="2">
        <v>5.16</v>
      </c>
      <c r="T60" s="2">
        <v>6.8</v>
      </c>
    </row>
    <row r="61" spans="1:20" ht="30" customHeight="1" x14ac:dyDescent="0.2">
      <c r="A61" s="2" t="s">
        <v>70</v>
      </c>
      <c r="B61" s="12">
        <v>533880544</v>
      </c>
      <c r="C61" s="2">
        <v>3.71</v>
      </c>
      <c r="D61" s="2">
        <v>8.17</v>
      </c>
      <c r="E61" s="2">
        <v>9.4499999999999993</v>
      </c>
      <c r="F61" s="2">
        <v>12.09</v>
      </c>
      <c r="G61" s="2">
        <v>7.0000000000000007E-2</v>
      </c>
      <c r="H61" s="2">
        <v>9.5299999999999994</v>
      </c>
      <c r="I61" s="2">
        <v>404.86</v>
      </c>
      <c r="J61" s="2">
        <v>8.86</v>
      </c>
      <c r="K61" s="2" t="s">
        <v>35</v>
      </c>
      <c r="L61" s="2" t="s">
        <v>35</v>
      </c>
      <c r="M61" s="2">
        <v>-1.94</v>
      </c>
      <c r="N61" s="2">
        <v>1.24</v>
      </c>
      <c r="O61" s="2">
        <v>-13.04</v>
      </c>
      <c r="P61" s="2">
        <v>-10.210000000000001</v>
      </c>
      <c r="Q61" s="2" t="s">
        <v>35</v>
      </c>
      <c r="R61" s="2" t="s">
        <v>35</v>
      </c>
      <c r="S61" s="2">
        <v>6.54</v>
      </c>
      <c r="T61" s="2">
        <v>10.1</v>
      </c>
    </row>
    <row r="62" spans="1:20" ht="30" customHeight="1" x14ac:dyDescent="0.2">
      <c r="A62" s="2" t="s">
        <v>71</v>
      </c>
      <c r="B62" s="12">
        <v>522716889</v>
      </c>
      <c r="C62" s="2">
        <v>2.63</v>
      </c>
      <c r="D62" s="2">
        <v>0.05</v>
      </c>
      <c r="E62" s="2">
        <v>5.25</v>
      </c>
      <c r="F62" s="2">
        <v>9.5</v>
      </c>
      <c r="G62" s="2">
        <v>5.34</v>
      </c>
      <c r="H62" s="2">
        <v>6.81</v>
      </c>
      <c r="I62" s="2">
        <v>-74.33</v>
      </c>
      <c r="J62" s="2">
        <v>-23.71</v>
      </c>
      <c r="K62" s="2" t="s">
        <v>35</v>
      </c>
      <c r="L62" s="2" t="s">
        <v>35</v>
      </c>
      <c r="M62" s="2">
        <v>3.14</v>
      </c>
      <c r="N62" s="2">
        <v>6</v>
      </c>
      <c r="O62" s="2">
        <v>-14.36</v>
      </c>
      <c r="P62" s="2">
        <v>-11.99</v>
      </c>
      <c r="Q62" s="2" t="s">
        <v>35</v>
      </c>
      <c r="R62" s="2" t="s">
        <v>35</v>
      </c>
      <c r="S62" s="2">
        <v>3.39</v>
      </c>
      <c r="T62" s="2">
        <v>5.89</v>
      </c>
    </row>
    <row r="63" spans="1:20" ht="30" customHeight="1" x14ac:dyDescent="0.2">
      <c r="A63" s="2" t="s">
        <v>72</v>
      </c>
      <c r="B63" s="12">
        <v>511606372</v>
      </c>
      <c r="C63" s="2">
        <v>5.66</v>
      </c>
      <c r="D63" s="2">
        <v>19.170000000000002</v>
      </c>
      <c r="E63" s="2">
        <v>2.7</v>
      </c>
      <c r="F63" s="2">
        <v>11.81</v>
      </c>
      <c r="G63" s="2">
        <v>6.46</v>
      </c>
      <c r="H63" s="2">
        <v>12.47</v>
      </c>
      <c r="I63" s="2">
        <v>-15.57</v>
      </c>
      <c r="J63" s="2">
        <v>53.34</v>
      </c>
      <c r="K63" s="2" t="s">
        <v>35</v>
      </c>
      <c r="L63" s="2" t="s">
        <v>35</v>
      </c>
      <c r="M63" s="2">
        <v>4.96</v>
      </c>
      <c r="N63" s="2">
        <v>14.06</v>
      </c>
      <c r="O63" s="2">
        <v>-3.94</v>
      </c>
      <c r="P63" s="2">
        <v>4.3899999999999997</v>
      </c>
      <c r="Q63" s="2" t="s">
        <v>35</v>
      </c>
      <c r="R63" s="2" t="s">
        <v>35</v>
      </c>
      <c r="S63" s="2">
        <v>7.83</v>
      </c>
      <c r="T63" s="2">
        <v>17.12</v>
      </c>
    </row>
    <row r="64" spans="1:20" ht="30" customHeight="1" x14ac:dyDescent="0.2">
      <c r="A64" s="2" t="s">
        <v>73</v>
      </c>
      <c r="B64" s="12">
        <v>500740247</v>
      </c>
      <c r="C64" s="2">
        <v>1.3</v>
      </c>
      <c r="D64" s="2">
        <v>16.46</v>
      </c>
      <c r="E64" s="2">
        <v>1.72</v>
      </c>
      <c r="F64" s="2">
        <v>9.59</v>
      </c>
      <c r="G64" s="2">
        <v>1.42</v>
      </c>
      <c r="H64" s="2">
        <v>10.64</v>
      </c>
      <c r="I64" s="2">
        <v>41.04</v>
      </c>
      <c r="J64" s="2">
        <v>-37.33</v>
      </c>
      <c r="K64" s="2" t="s">
        <v>35</v>
      </c>
      <c r="L64" s="2" t="s">
        <v>35</v>
      </c>
      <c r="M64" s="2">
        <v>25.84</v>
      </c>
      <c r="N64" s="2">
        <v>41.79</v>
      </c>
      <c r="O64" s="2">
        <v>28.62</v>
      </c>
      <c r="P64" s="2">
        <v>44.93</v>
      </c>
      <c r="Q64" s="2" t="s">
        <v>35</v>
      </c>
      <c r="R64" s="2" t="s">
        <v>35</v>
      </c>
      <c r="S64" s="2">
        <v>-0.06</v>
      </c>
      <c r="T64" s="2">
        <v>13.21</v>
      </c>
    </row>
    <row r="65" spans="1:20" ht="30" customHeight="1" x14ac:dyDescent="0.2">
      <c r="A65" s="2" t="s">
        <v>74</v>
      </c>
      <c r="B65" s="12">
        <v>490140146</v>
      </c>
      <c r="C65" s="2">
        <v>0.09</v>
      </c>
      <c r="D65" s="2">
        <v>5.55</v>
      </c>
      <c r="E65" s="2">
        <v>9.69</v>
      </c>
      <c r="F65" s="2">
        <v>15.22</v>
      </c>
      <c r="G65" s="2">
        <v>3.21</v>
      </c>
      <c r="H65" s="2">
        <v>10.84</v>
      </c>
      <c r="I65" s="2">
        <v>-24.5</v>
      </c>
      <c r="J65" s="2">
        <v>-4.5199999999999996</v>
      </c>
      <c r="K65" s="2" t="s">
        <v>35</v>
      </c>
      <c r="L65" s="2" t="s">
        <v>35</v>
      </c>
      <c r="M65" s="2">
        <v>-13.86</v>
      </c>
      <c r="N65" s="2">
        <v>-6.39</v>
      </c>
      <c r="O65" s="2">
        <v>-11.06</v>
      </c>
      <c r="P65" s="2">
        <v>-3.34</v>
      </c>
      <c r="Q65" s="2" t="s">
        <v>35</v>
      </c>
      <c r="R65" s="2" t="s">
        <v>35</v>
      </c>
      <c r="S65" s="2">
        <v>-2.64</v>
      </c>
      <c r="T65" s="2">
        <v>5.45</v>
      </c>
    </row>
    <row r="66" spans="1:20" ht="30" customHeight="1" x14ac:dyDescent="0.2">
      <c r="A66" s="2" t="s">
        <v>75</v>
      </c>
      <c r="B66" s="12">
        <v>479229598</v>
      </c>
      <c r="C66" s="2">
        <v>5.97</v>
      </c>
      <c r="D66" s="2">
        <v>17.72</v>
      </c>
      <c r="E66" s="2">
        <v>4.47</v>
      </c>
      <c r="F66" s="2">
        <v>7.76</v>
      </c>
      <c r="G66" s="2">
        <v>7.71</v>
      </c>
      <c r="H66" s="2">
        <v>16.23</v>
      </c>
      <c r="I66" s="2">
        <v>68.959999999999994</v>
      </c>
      <c r="J66" s="2">
        <v>42.71</v>
      </c>
      <c r="K66" s="2" t="s">
        <v>35</v>
      </c>
      <c r="L66" s="2" t="s">
        <v>35</v>
      </c>
      <c r="M66" s="2">
        <v>-6.51</v>
      </c>
      <c r="N66" s="2">
        <v>1.52</v>
      </c>
      <c r="O66" s="2">
        <v>3.38</v>
      </c>
      <c r="P66" s="2">
        <v>12.26</v>
      </c>
      <c r="Q66" s="2" t="s">
        <v>35</v>
      </c>
      <c r="R66" s="2" t="s">
        <v>35</v>
      </c>
      <c r="S66" s="2">
        <v>7.45</v>
      </c>
      <c r="T66" s="2">
        <v>16.64</v>
      </c>
    </row>
    <row r="67" spans="1:20" ht="30" customHeight="1" x14ac:dyDescent="0.2">
      <c r="A67" s="2" t="s">
        <v>76</v>
      </c>
      <c r="B67" s="12">
        <v>468138575</v>
      </c>
      <c r="C67" s="2">
        <v>3.72</v>
      </c>
      <c r="D67" s="2">
        <v>11.02</v>
      </c>
      <c r="E67" s="2">
        <v>22.88</v>
      </c>
      <c r="F67" s="2">
        <v>28.51</v>
      </c>
      <c r="G67" s="2">
        <v>11.65</v>
      </c>
      <c r="H67" s="2">
        <v>17.57</v>
      </c>
      <c r="I67" s="2">
        <v>-18.37</v>
      </c>
      <c r="J67" s="2">
        <v>42.2</v>
      </c>
      <c r="K67" s="2" t="s">
        <v>35</v>
      </c>
      <c r="L67" s="2" t="s">
        <v>35</v>
      </c>
      <c r="M67" s="2">
        <v>8.4</v>
      </c>
      <c r="N67" s="2">
        <v>17.920000000000002</v>
      </c>
      <c r="O67" s="2">
        <v>3.39</v>
      </c>
      <c r="P67" s="2">
        <v>12.47</v>
      </c>
      <c r="Q67" s="2" t="s">
        <v>35</v>
      </c>
      <c r="R67" s="2" t="s">
        <v>35</v>
      </c>
      <c r="S67" s="2">
        <v>5.99</v>
      </c>
      <c r="T67" s="2">
        <v>14.85</v>
      </c>
    </row>
    <row r="68" spans="1:20" ht="30" customHeight="1" x14ac:dyDescent="0.2">
      <c r="A68" s="2" t="s">
        <v>77</v>
      </c>
      <c r="B68" s="12">
        <v>457283090</v>
      </c>
      <c r="C68" s="2">
        <v>1.3</v>
      </c>
      <c r="D68" s="2">
        <v>5.32</v>
      </c>
      <c r="E68" s="2">
        <v>20.66</v>
      </c>
      <c r="F68" s="2">
        <v>21.26</v>
      </c>
      <c r="G68" s="2">
        <v>6.57</v>
      </c>
      <c r="H68" s="2">
        <v>8.9</v>
      </c>
      <c r="I68" s="2">
        <v>-13.37</v>
      </c>
      <c r="J68" s="2">
        <v>-34.369999999999997</v>
      </c>
      <c r="K68" s="2" t="s">
        <v>35</v>
      </c>
      <c r="L68" s="2" t="s">
        <v>35</v>
      </c>
      <c r="M68" s="2">
        <v>-0.57999999999999996</v>
      </c>
      <c r="N68" s="2">
        <v>4.0999999999999996</v>
      </c>
      <c r="O68" s="2">
        <v>3.91</v>
      </c>
      <c r="P68" s="2">
        <v>8.81</v>
      </c>
      <c r="Q68" s="2" t="s">
        <v>35</v>
      </c>
      <c r="R68" s="2" t="s">
        <v>35</v>
      </c>
      <c r="S68" s="2">
        <v>2.93</v>
      </c>
      <c r="T68" s="2">
        <v>7.47</v>
      </c>
    </row>
    <row r="69" spans="1:20" ht="30" customHeight="1" x14ac:dyDescent="0.2">
      <c r="A69" s="2" t="s">
        <v>78</v>
      </c>
      <c r="B69" s="12">
        <v>446564729</v>
      </c>
      <c r="C69" s="2">
        <v>1.7</v>
      </c>
      <c r="D69" s="2">
        <v>4.57</v>
      </c>
      <c r="E69" s="2">
        <v>7.62</v>
      </c>
      <c r="F69" s="2">
        <v>11.12</v>
      </c>
      <c r="G69" s="2">
        <v>13.23</v>
      </c>
      <c r="H69" s="2">
        <v>15.48</v>
      </c>
      <c r="I69" s="2">
        <v>-15.07</v>
      </c>
      <c r="J69" s="2">
        <v>6.89</v>
      </c>
      <c r="K69" s="2" t="s">
        <v>35</v>
      </c>
      <c r="L69" s="2" t="s">
        <v>35</v>
      </c>
      <c r="M69" s="2">
        <v>-0.19</v>
      </c>
      <c r="N69" s="2">
        <v>2.16</v>
      </c>
      <c r="O69" s="2">
        <v>-9.76</v>
      </c>
      <c r="P69" s="2">
        <v>-7.63</v>
      </c>
      <c r="Q69" s="2" t="s">
        <v>35</v>
      </c>
      <c r="R69" s="2" t="s">
        <v>35</v>
      </c>
      <c r="S69" s="2">
        <v>3.72</v>
      </c>
      <c r="T69" s="2">
        <v>5.95</v>
      </c>
    </row>
    <row r="70" spans="1:20" ht="30" customHeight="1" x14ac:dyDescent="0.2">
      <c r="A70" s="2" t="s">
        <v>79</v>
      </c>
      <c r="B70" s="12">
        <v>435990338</v>
      </c>
      <c r="C70" s="2">
        <v>5.69</v>
      </c>
      <c r="D70" s="2">
        <v>8.06</v>
      </c>
      <c r="E70" s="2">
        <v>5.4</v>
      </c>
      <c r="F70" s="2">
        <v>9.11</v>
      </c>
      <c r="G70" s="2">
        <v>6.66</v>
      </c>
      <c r="H70" s="2">
        <v>13.59</v>
      </c>
      <c r="I70" s="2">
        <v>36.83</v>
      </c>
      <c r="J70" s="2">
        <v>147.81</v>
      </c>
      <c r="K70" s="2" t="s">
        <v>35</v>
      </c>
      <c r="L70" s="2" t="s">
        <v>35</v>
      </c>
      <c r="M70" s="2">
        <v>-1.18</v>
      </c>
      <c r="N70" s="2">
        <v>1.03</v>
      </c>
      <c r="O70" s="2">
        <v>16.7</v>
      </c>
      <c r="P70" s="2">
        <v>19.309999999999999</v>
      </c>
      <c r="Q70" s="2" t="s">
        <v>35</v>
      </c>
      <c r="R70" s="2" t="s">
        <v>35</v>
      </c>
      <c r="S70" s="2">
        <v>5.5</v>
      </c>
      <c r="T70" s="2">
        <v>9.51</v>
      </c>
    </row>
    <row r="71" spans="1:20" ht="30" customHeight="1" x14ac:dyDescent="0.2">
      <c r="A71" s="2" t="s">
        <v>80</v>
      </c>
      <c r="B71" s="2"/>
      <c r="C71" s="2">
        <v>1.1399999999999999</v>
      </c>
      <c r="D71" s="2">
        <v>3.95</v>
      </c>
      <c r="E71" s="2">
        <v>1.79</v>
      </c>
      <c r="F71" s="2">
        <v>5.38</v>
      </c>
      <c r="G71" s="2">
        <v>5.44</v>
      </c>
      <c r="H71" s="2">
        <v>9.0399999999999991</v>
      </c>
      <c r="I71" s="3">
        <v>-1032.27</v>
      </c>
      <c r="J71" s="2">
        <v>655.4</v>
      </c>
      <c r="K71" s="2" t="s">
        <v>35</v>
      </c>
      <c r="L71" s="2" t="s">
        <v>35</v>
      </c>
      <c r="M71" s="2">
        <v>5.41</v>
      </c>
      <c r="N71" s="2">
        <v>8.34</v>
      </c>
      <c r="O71" s="2">
        <v>-10.99</v>
      </c>
      <c r="P71" s="2">
        <v>-8.51</v>
      </c>
      <c r="Q71" s="2" t="s">
        <v>35</v>
      </c>
      <c r="R71" s="2" t="s">
        <v>35</v>
      </c>
      <c r="S71" s="2">
        <v>2.62</v>
      </c>
      <c r="T71" s="2">
        <v>5.35</v>
      </c>
    </row>
    <row r="72" spans="1:20" ht="30" customHeight="1" x14ac:dyDescent="0.2">
      <c r="A72" s="2" t="s">
        <v>81</v>
      </c>
      <c r="B72" s="2"/>
      <c r="C72" s="2">
        <v>9.18</v>
      </c>
      <c r="D72" s="2">
        <v>13.53</v>
      </c>
      <c r="E72" s="2">
        <v>3.55</v>
      </c>
      <c r="F72" s="2">
        <v>7.26</v>
      </c>
      <c r="G72" s="2">
        <v>-0.16</v>
      </c>
      <c r="H72" s="2">
        <v>0.25</v>
      </c>
      <c r="I72" s="2">
        <v>-106.74</v>
      </c>
      <c r="J72" s="2">
        <v>-89.67</v>
      </c>
      <c r="K72" s="2" t="s">
        <v>35</v>
      </c>
      <c r="L72" s="2" t="s">
        <v>35</v>
      </c>
      <c r="M72" s="2">
        <v>-13.56</v>
      </c>
      <c r="N72" s="2">
        <v>-10.130000000000001</v>
      </c>
      <c r="O72" s="2">
        <v>-18.57</v>
      </c>
      <c r="P72" s="2">
        <v>-15.34</v>
      </c>
      <c r="Q72" s="2" t="s">
        <v>35</v>
      </c>
      <c r="R72" s="2" t="s">
        <v>35</v>
      </c>
      <c r="S72" s="2">
        <v>7.39</v>
      </c>
      <c r="T72" s="2">
        <v>11.47</v>
      </c>
    </row>
    <row r="73" spans="1:20" ht="30" customHeight="1" x14ac:dyDescent="0.2">
      <c r="A73" s="2" t="s">
        <v>82</v>
      </c>
      <c r="B73" s="2"/>
      <c r="C73" s="2">
        <v>-1.98</v>
      </c>
      <c r="D73" s="2">
        <v>1.43</v>
      </c>
      <c r="E73" s="2">
        <v>12.61</v>
      </c>
      <c r="F73" s="2">
        <v>16.86</v>
      </c>
      <c r="G73" s="2">
        <v>-9.52</v>
      </c>
      <c r="H73" s="2">
        <v>0.03</v>
      </c>
      <c r="I73" s="2">
        <v>60.24</v>
      </c>
      <c r="J73" s="2">
        <v>-30.64</v>
      </c>
      <c r="K73" s="2" t="s">
        <v>35</v>
      </c>
      <c r="L73" s="2" t="s">
        <v>35</v>
      </c>
      <c r="M73" s="2">
        <v>0.79</v>
      </c>
      <c r="N73" s="2">
        <v>4.3</v>
      </c>
      <c r="O73" s="2">
        <v>7.33</v>
      </c>
      <c r="P73" s="2">
        <v>11.07</v>
      </c>
      <c r="Q73" s="2" t="s">
        <v>35</v>
      </c>
      <c r="R73" s="2" t="s">
        <v>35</v>
      </c>
      <c r="S73" s="2">
        <v>-0.41</v>
      </c>
      <c r="T73" s="2">
        <v>2.98</v>
      </c>
    </row>
    <row r="74" spans="1:20" ht="30" customHeight="1" x14ac:dyDescent="0.2">
      <c r="A74" s="2" t="s">
        <v>83</v>
      </c>
      <c r="B74" s="2"/>
      <c r="C74" s="2">
        <v>4.42</v>
      </c>
      <c r="D74" s="2">
        <v>17.940000000000001</v>
      </c>
      <c r="E74" s="2">
        <v>6.96</v>
      </c>
      <c r="F74" s="2">
        <v>10.26</v>
      </c>
      <c r="G74" s="2">
        <v>19.59</v>
      </c>
      <c r="H74" s="2">
        <v>24.7</v>
      </c>
      <c r="I74" s="2">
        <v>205.42</v>
      </c>
      <c r="J74" s="2">
        <v>49.66</v>
      </c>
      <c r="K74" s="2" t="s">
        <v>35</v>
      </c>
      <c r="L74" s="2" t="s">
        <v>35</v>
      </c>
      <c r="M74" s="2">
        <v>-10.29</v>
      </c>
      <c r="N74" s="2">
        <v>1.32</v>
      </c>
      <c r="O74" s="2">
        <v>23.89</v>
      </c>
      <c r="P74" s="2">
        <v>39.93</v>
      </c>
      <c r="Q74" s="2" t="s">
        <v>35</v>
      </c>
      <c r="R74" s="2" t="s">
        <v>35</v>
      </c>
      <c r="S74" s="2">
        <v>5.58</v>
      </c>
      <c r="T74" s="2">
        <v>19.14</v>
      </c>
    </row>
    <row r="75" spans="1:20" ht="30" customHeight="1" x14ac:dyDescent="0.2">
      <c r="A75" s="2" t="s">
        <v>84</v>
      </c>
      <c r="B75" s="2"/>
      <c r="C75" s="2">
        <v>0.96</v>
      </c>
      <c r="D75" s="2">
        <v>0.02</v>
      </c>
      <c r="E75" s="2">
        <v>2.77</v>
      </c>
      <c r="F75" s="2">
        <v>7.14</v>
      </c>
      <c r="G75" s="2">
        <v>12.14</v>
      </c>
      <c r="H75" s="2">
        <v>20.71</v>
      </c>
      <c r="I75" s="2">
        <v>25.97</v>
      </c>
      <c r="J75" s="2">
        <v>277.14</v>
      </c>
      <c r="K75" s="2" t="s">
        <v>35</v>
      </c>
      <c r="L75" s="2" t="s">
        <v>35</v>
      </c>
      <c r="M75" s="2">
        <v>8.3800000000000008</v>
      </c>
      <c r="N75" s="2">
        <v>7.38</v>
      </c>
      <c r="O75" s="2">
        <v>12.91</v>
      </c>
      <c r="P75" s="2">
        <v>11.87</v>
      </c>
      <c r="Q75" s="2" t="s">
        <v>35</v>
      </c>
      <c r="R75" s="2" t="s">
        <v>35</v>
      </c>
      <c r="S75" s="2">
        <v>3.24</v>
      </c>
      <c r="T75" s="2">
        <v>1.8</v>
      </c>
    </row>
    <row r="76" spans="1:20" ht="30" customHeight="1" x14ac:dyDescent="0.2">
      <c r="A76" s="2" t="s">
        <v>85</v>
      </c>
      <c r="B76" s="2"/>
      <c r="C76" s="2">
        <v>3.28</v>
      </c>
      <c r="D76" s="2">
        <v>-6.93</v>
      </c>
      <c r="E76" s="2">
        <v>0.59</v>
      </c>
      <c r="F76" s="2">
        <v>4.3</v>
      </c>
      <c r="G76" s="2">
        <v>13.56</v>
      </c>
      <c r="H76" s="2">
        <v>16.95</v>
      </c>
      <c r="I76" s="2">
        <v>-148.53</v>
      </c>
      <c r="J76" s="2">
        <v>-149.44</v>
      </c>
      <c r="K76" s="2" t="s">
        <v>35</v>
      </c>
      <c r="L76" s="2" t="s">
        <v>35</v>
      </c>
      <c r="M76" s="2">
        <v>21.48</v>
      </c>
      <c r="N76" s="2">
        <v>9.4700000000000006</v>
      </c>
      <c r="O76" s="2">
        <v>27.65</v>
      </c>
      <c r="P76" s="2">
        <v>15.03</v>
      </c>
      <c r="Q76" s="2" t="s">
        <v>35</v>
      </c>
      <c r="R76" s="2" t="s">
        <v>35</v>
      </c>
      <c r="S76" s="2">
        <v>4.8099999999999996</v>
      </c>
      <c r="T76" s="2">
        <v>-5.42</v>
      </c>
    </row>
    <row r="77" spans="1:20" ht="30" customHeight="1" x14ac:dyDescent="0.2">
      <c r="A77" s="2" t="s">
        <v>86</v>
      </c>
      <c r="B77" s="2"/>
      <c r="C77" s="2">
        <v>6.01</v>
      </c>
      <c r="D77" s="2">
        <v>8.81</v>
      </c>
      <c r="E77" s="2">
        <v>1.25</v>
      </c>
      <c r="F77" s="2">
        <v>5.6</v>
      </c>
      <c r="G77" s="2">
        <v>3.17</v>
      </c>
      <c r="H77" s="2">
        <v>-1.2</v>
      </c>
      <c r="I77" s="2">
        <v>-327.73</v>
      </c>
      <c r="J77" s="2">
        <v>188.97</v>
      </c>
      <c r="K77" s="2" t="s">
        <v>35</v>
      </c>
      <c r="L77" s="2" t="s">
        <v>35</v>
      </c>
      <c r="M77" s="2">
        <v>-12.25</v>
      </c>
      <c r="N77" s="2">
        <v>-9.93</v>
      </c>
      <c r="O77" s="2">
        <v>-9.51</v>
      </c>
      <c r="P77" s="2">
        <v>-7.12</v>
      </c>
      <c r="Q77" s="2" t="s">
        <v>35</v>
      </c>
      <c r="R77" s="2" t="s">
        <v>35</v>
      </c>
      <c r="S77" s="2">
        <v>6.15</v>
      </c>
      <c r="T77" s="2">
        <v>8.85</v>
      </c>
    </row>
    <row r="78" spans="1:20" ht="30" customHeight="1" x14ac:dyDescent="0.2">
      <c r="A78" s="2" t="s">
        <v>87</v>
      </c>
      <c r="B78" s="2"/>
      <c r="C78" s="2">
        <v>4.04</v>
      </c>
      <c r="D78" s="2">
        <v>-0.23</v>
      </c>
      <c r="E78" s="2">
        <v>0.12</v>
      </c>
      <c r="F78" s="2">
        <v>3.61</v>
      </c>
      <c r="G78" s="2">
        <v>-5.5</v>
      </c>
      <c r="H78" s="2">
        <v>-6.05</v>
      </c>
      <c r="I78" s="2">
        <v>-73.510000000000005</v>
      </c>
      <c r="J78" s="2">
        <v>-112.68</v>
      </c>
      <c r="K78" s="2" t="s">
        <v>35</v>
      </c>
      <c r="L78" s="2" t="s">
        <v>35</v>
      </c>
      <c r="M78" s="2">
        <v>-11.87</v>
      </c>
      <c r="N78" s="2">
        <v>-15.48</v>
      </c>
      <c r="O78" s="2">
        <v>-29.48</v>
      </c>
      <c r="P78" s="2">
        <v>-32.369999999999997</v>
      </c>
      <c r="Q78" s="2" t="s">
        <v>35</v>
      </c>
      <c r="R78" s="2" t="s">
        <v>35</v>
      </c>
      <c r="S78" s="2">
        <v>2.63</v>
      </c>
      <c r="T78" s="2">
        <v>-1.84</v>
      </c>
    </row>
    <row r="79" spans="1:20" ht="30" customHeight="1" x14ac:dyDescent="0.2">
      <c r="A79" s="2" t="s">
        <v>88</v>
      </c>
      <c r="B79" s="2"/>
      <c r="C79" s="2">
        <v>6.36</v>
      </c>
      <c r="D79" s="2">
        <v>9.7200000000000006</v>
      </c>
      <c r="E79" s="2">
        <v>1.04</v>
      </c>
      <c r="F79" s="2">
        <v>4.93</v>
      </c>
      <c r="G79" s="2">
        <v>-2.56</v>
      </c>
      <c r="H79" s="2">
        <v>7.43</v>
      </c>
      <c r="I79" s="2">
        <v>-6.08</v>
      </c>
      <c r="J79" s="2">
        <v>20.8</v>
      </c>
      <c r="K79" s="2" t="s">
        <v>35</v>
      </c>
      <c r="L79" s="2" t="s">
        <v>35</v>
      </c>
      <c r="M79" s="2">
        <v>11.41</v>
      </c>
      <c r="N79" s="2">
        <v>14.95</v>
      </c>
      <c r="O79" s="2">
        <v>41.5</v>
      </c>
      <c r="P79" s="2">
        <v>45.99</v>
      </c>
      <c r="Q79" s="2" t="s">
        <v>35</v>
      </c>
      <c r="R79" s="2" t="s">
        <v>35</v>
      </c>
      <c r="S79" s="2">
        <v>2.95</v>
      </c>
      <c r="T79" s="2">
        <v>6.28</v>
      </c>
    </row>
  </sheetData>
  <mergeCells count="12">
    <mergeCell ref="I1:J2"/>
    <mergeCell ref="A1:A4"/>
    <mergeCell ref="C1:D2"/>
    <mergeCell ref="E1:F1"/>
    <mergeCell ref="E2:F2"/>
    <mergeCell ref="G1:H2"/>
    <mergeCell ref="B1:B4"/>
    <mergeCell ref="K1:L2"/>
    <mergeCell ref="M1:N2"/>
    <mergeCell ref="O1:P2"/>
    <mergeCell ref="Q1:R2"/>
    <mergeCell ref="S1:T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E0D9B-A9FF-45A0-A043-EC1E4783B7F4}">
  <dimension ref="A1:U76"/>
  <sheetViews>
    <sheetView tabSelected="1" workbookViewId="0">
      <selection activeCell="E75" sqref="E75"/>
    </sheetView>
  </sheetViews>
  <sheetFormatPr defaultRowHeight="15" x14ac:dyDescent="0.25"/>
  <cols>
    <col min="1" max="1" width="9.85546875" bestFit="1" customWidth="1"/>
    <col min="2" max="2" width="9.85546875" customWidth="1"/>
    <col min="3" max="3" width="15.28515625" style="23" bestFit="1" customWidth="1"/>
    <col min="4" max="4" width="51.5703125" bestFit="1" customWidth="1"/>
    <col min="5" max="5" width="50.42578125" bestFit="1" customWidth="1"/>
    <col min="6" max="6" width="44.140625" bestFit="1" customWidth="1"/>
    <col min="7" max="7" width="43.140625" bestFit="1" customWidth="1"/>
    <col min="8" max="8" width="41.140625" bestFit="1" customWidth="1"/>
    <col min="9" max="9" width="40.140625" bestFit="1" customWidth="1"/>
    <col min="10" max="10" width="29.7109375" bestFit="1" customWidth="1"/>
    <col min="11" max="11" width="27.7109375" bestFit="1" customWidth="1"/>
    <col min="12" max="12" width="21.85546875" bestFit="1" customWidth="1"/>
    <col min="13" max="13" width="20.7109375" bestFit="1" customWidth="1"/>
    <col min="14" max="14" width="42.42578125" bestFit="1" customWidth="1"/>
    <col min="15" max="15" width="41.28515625" bestFit="1" customWidth="1"/>
    <col min="16" max="16" width="41.42578125" bestFit="1" customWidth="1"/>
    <col min="17" max="17" width="40.42578125" bestFit="1" customWidth="1"/>
    <col min="18" max="18" width="26.140625" bestFit="1" customWidth="1"/>
    <col min="19" max="19" width="25" bestFit="1" customWidth="1"/>
    <col min="20" max="20" width="36.140625" bestFit="1" customWidth="1"/>
    <col min="21" max="21" width="35.140625" bestFit="1" customWidth="1"/>
  </cols>
  <sheetData>
    <row r="1" spans="1:21" x14ac:dyDescent="0.25">
      <c r="A1" s="19" t="s">
        <v>0</v>
      </c>
      <c r="B1" s="19" t="s">
        <v>0</v>
      </c>
      <c r="C1" s="21" t="s">
        <v>96</v>
      </c>
      <c r="D1" s="19" t="s">
        <v>113</v>
      </c>
      <c r="E1" s="19" t="s">
        <v>114</v>
      </c>
      <c r="F1" s="19" t="s">
        <v>97</v>
      </c>
      <c r="G1" s="19" t="s">
        <v>98</v>
      </c>
      <c r="H1" s="19" t="s">
        <v>99</v>
      </c>
      <c r="I1" s="19" t="s">
        <v>100</v>
      </c>
      <c r="J1" s="19" t="s">
        <v>101</v>
      </c>
      <c r="K1" s="19" t="s">
        <v>102</v>
      </c>
      <c r="L1" s="19" t="s">
        <v>103</v>
      </c>
      <c r="M1" s="19" t="s">
        <v>104</v>
      </c>
      <c r="N1" s="19" t="s">
        <v>105</v>
      </c>
      <c r="O1" s="19" t="s">
        <v>106</v>
      </c>
      <c r="P1" s="19" t="s">
        <v>107</v>
      </c>
      <c r="Q1" s="19" t="s">
        <v>108</v>
      </c>
      <c r="R1" s="19" t="s">
        <v>109</v>
      </c>
      <c r="S1" s="19" t="s">
        <v>110</v>
      </c>
      <c r="T1" s="19" t="s">
        <v>111</v>
      </c>
      <c r="U1" s="19" t="s">
        <v>112</v>
      </c>
    </row>
    <row r="2" spans="1:21" x14ac:dyDescent="0.25">
      <c r="A2" s="20" t="s">
        <v>13</v>
      </c>
      <c r="B2" s="20" t="str">
        <f>LEFT(A2,4)</f>
        <v>2025</v>
      </c>
      <c r="C2" s="22" t="s">
        <v>35</v>
      </c>
      <c r="D2" s="20">
        <v>7.04</v>
      </c>
      <c r="E2" s="20">
        <v>8.1999999999999993</v>
      </c>
      <c r="F2" s="20">
        <v>5.19</v>
      </c>
      <c r="G2" s="20">
        <v>6.56</v>
      </c>
      <c r="H2" s="20">
        <v>7.82</v>
      </c>
      <c r="I2" s="20">
        <v>8.35</v>
      </c>
      <c r="J2" s="20">
        <v>4.9000000000000004</v>
      </c>
      <c r="K2" s="20">
        <v>3.93</v>
      </c>
      <c r="L2" s="20">
        <v>-10.63</v>
      </c>
      <c r="M2" s="20">
        <v>15.04</v>
      </c>
      <c r="N2" s="20">
        <v>6.38</v>
      </c>
      <c r="O2" s="20">
        <v>9.49</v>
      </c>
      <c r="P2" s="20">
        <v>14.44</v>
      </c>
      <c r="Q2" s="20">
        <v>9.0399999999999991</v>
      </c>
      <c r="R2" s="20">
        <v>-145.57</v>
      </c>
      <c r="S2" s="20">
        <v>18.28</v>
      </c>
      <c r="T2" s="20">
        <v>7.41</v>
      </c>
      <c r="U2" s="20">
        <v>8</v>
      </c>
    </row>
    <row r="3" spans="1:21" x14ac:dyDescent="0.25">
      <c r="A3" s="20" t="s">
        <v>14</v>
      </c>
      <c r="B3" s="20" t="str">
        <f t="shared" ref="B3:B66" si="0">LEFT(A3,4)</f>
        <v>2024</v>
      </c>
      <c r="C3" s="22">
        <v>1450935791</v>
      </c>
      <c r="D3" s="20">
        <v>7.2</v>
      </c>
      <c r="E3" s="20">
        <v>11.96</v>
      </c>
      <c r="F3" s="20">
        <v>2.2799999999999998</v>
      </c>
      <c r="G3" s="20">
        <v>6.4</v>
      </c>
      <c r="H3" s="20">
        <v>7.06</v>
      </c>
      <c r="I3" s="20">
        <v>7.87</v>
      </c>
      <c r="J3" s="20">
        <v>4.46</v>
      </c>
      <c r="K3" s="20">
        <v>8.18</v>
      </c>
      <c r="L3" s="20">
        <v>0.61</v>
      </c>
      <c r="M3" s="20">
        <v>17.850000000000001</v>
      </c>
      <c r="N3" s="20">
        <v>6.34</v>
      </c>
      <c r="O3" s="20">
        <v>8.31</v>
      </c>
      <c r="P3" s="20">
        <v>-3.67</v>
      </c>
      <c r="Q3" s="20">
        <v>9.51</v>
      </c>
      <c r="R3" s="20">
        <v>-295.72000000000003</v>
      </c>
      <c r="S3" s="20">
        <v>22.28</v>
      </c>
      <c r="T3" s="20">
        <v>6.49</v>
      </c>
      <c r="U3" s="20">
        <v>9.7799999999999994</v>
      </c>
    </row>
    <row r="4" spans="1:21" x14ac:dyDescent="0.25">
      <c r="A4" s="20" t="s">
        <v>15</v>
      </c>
      <c r="B4" s="20" t="str">
        <f t="shared" si="0"/>
        <v>2023</v>
      </c>
      <c r="C4" s="22">
        <v>1438069596</v>
      </c>
      <c r="D4" s="20">
        <v>5.56</v>
      </c>
      <c r="E4" s="20">
        <v>9.6999999999999993</v>
      </c>
      <c r="F4" s="20">
        <v>8.14</v>
      </c>
      <c r="G4" s="20">
        <v>12.57</v>
      </c>
      <c r="H4" s="20">
        <v>8.7799999999999994</v>
      </c>
      <c r="I4" s="20">
        <v>9.16</v>
      </c>
      <c r="J4" s="20">
        <v>53.44</v>
      </c>
      <c r="K4" s="20">
        <v>53.27</v>
      </c>
      <c r="L4" s="20">
        <v>14.44</v>
      </c>
      <c r="M4" s="20">
        <v>23.35</v>
      </c>
      <c r="N4" s="20">
        <v>2.2000000000000002</v>
      </c>
      <c r="O4" s="20">
        <v>3.34</v>
      </c>
      <c r="P4" s="20">
        <v>13.75</v>
      </c>
      <c r="Q4" s="20">
        <v>-1.68</v>
      </c>
      <c r="R4" s="20">
        <v>-128.72999999999999</v>
      </c>
      <c r="S4" s="20">
        <v>11.68</v>
      </c>
      <c r="T4" s="20">
        <v>9.19</v>
      </c>
      <c r="U4" s="20">
        <v>12.02</v>
      </c>
    </row>
    <row r="5" spans="1:21" x14ac:dyDescent="0.25">
      <c r="A5" s="20" t="s">
        <v>16</v>
      </c>
      <c r="B5" s="20" t="str">
        <f t="shared" si="0"/>
        <v>2022</v>
      </c>
      <c r="C5" s="22">
        <v>1425423212</v>
      </c>
      <c r="D5" s="20">
        <v>7.47</v>
      </c>
      <c r="E5" s="20">
        <v>14.91</v>
      </c>
      <c r="F5" s="20">
        <v>4.3</v>
      </c>
      <c r="G5" s="20">
        <v>11.55</v>
      </c>
      <c r="H5" s="20">
        <v>8.4499999999999993</v>
      </c>
      <c r="I5" s="20">
        <v>20.29</v>
      </c>
      <c r="J5" s="20">
        <v>24.33</v>
      </c>
      <c r="K5" s="20">
        <v>40.22</v>
      </c>
      <c r="L5" s="20">
        <v>-16.940000000000001</v>
      </c>
      <c r="M5" s="20">
        <v>-10.53</v>
      </c>
      <c r="N5" s="20">
        <v>10.32</v>
      </c>
      <c r="O5" s="20">
        <v>23.82</v>
      </c>
      <c r="P5" s="20">
        <v>8.92</v>
      </c>
      <c r="Q5" s="20">
        <v>27.24</v>
      </c>
      <c r="R5" s="20">
        <v>4.3099999999999996</v>
      </c>
      <c r="S5" s="20">
        <v>119.24</v>
      </c>
      <c r="T5" s="20">
        <v>7.61</v>
      </c>
      <c r="U5" s="20">
        <v>13.96</v>
      </c>
    </row>
    <row r="6" spans="1:21" x14ac:dyDescent="0.25">
      <c r="A6" s="20" t="s">
        <v>17</v>
      </c>
      <c r="B6" s="20" t="str">
        <f t="shared" si="0"/>
        <v>2021</v>
      </c>
      <c r="C6" s="22">
        <v>1414203896</v>
      </c>
      <c r="D6" s="20">
        <v>11.68</v>
      </c>
      <c r="E6" s="20">
        <v>18.57</v>
      </c>
      <c r="F6" s="20">
        <v>0.02</v>
      </c>
      <c r="G6" s="20">
        <v>7.23</v>
      </c>
      <c r="H6" s="20">
        <v>17.52</v>
      </c>
      <c r="I6" s="20">
        <v>28.66</v>
      </c>
      <c r="J6" s="20">
        <v>525.39</v>
      </c>
      <c r="K6" s="20">
        <v>456</v>
      </c>
      <c r="L6" s="20">
        <v>32.5</v>
      </c>
      <c r="M6" s="20">
        <v>38.090000000000003</v>
      </c>
      <c r="N6" s="20">
        <v>29.6</v>
      </c>
      <c r="O6" s="20">
        <v>36.14</v>
      </c>
      <c r="P6" s="20">
        <v>22.09</v>
      </c>
      <c r="Q6" s="20">
        <v>49.69</v>
      </c>
      <c r="R6" s="20">
        <v>-386.91</v>
      </c>
      <c r="S6" s="20">
        <v>-12.01</v>
      </c>
      <c r="T6" s="20">
        <v>9.69</v>
      </c>
      <c r="U6" s="20">
        <v>18.850000000000001</v>
      </c>
    </row>
    <row r="7" spans="1:21" x14ac:dyDescent="0.25">
      <c r="A7" s="20" t="s">
        <v>18</v>
      </c>
      <c r="B7" s="20" t="str">
        <f t="shared" si="0"/>
        <v>2020</v>
      </c>
      <c r="C7" s="22">
        <v>1402617695</v>
      </c>
      <c r="D7" s="20">
        <v>-5.29</v>
      </c>
      <c r="E7" s="20">
        <v>-0.94</v>
      </c>
      <c r="F7" s="20">
        <v>-0.77</v>
      </c>
      <c r="G7" s="20">
        <v>4.2300000000000004</v>
      </c>
      <c r="H7" s="20">
        <v>-7.1</v>
      </c>
      <c r="I7" s="20">
        <v>-5.16</v>
      </c>
      <c r="J7" s="20">
        <v>-76.400000000000006</v>
      </c>
      <c r="K7" s="20">
        <v>-71.56</v>
      </c>
      <c r="L7" s="20">
        <v>29.86</v>
      </c>
      <c r="M7" s="20">
        <v>43.13</v>
      </c>
      <c r="N7" s="20">
        <v>-6.96</v>
      </c>
      <c r="O7" s="20">
        <v>-1.1399999999999999</v>
      </c>
      <c r="P7" s="20">
        <v>-12.62</v>
      </c>
      <c r="Q7" s="20">
        <v>-11.31</v>
      </c>
      <c r="R7" s="20">
        <v>-59.54</v>
      </c>
      <c r="S7" s="20">
        <v>-316.06</v>
      </c>
      <c r="T7" s="20">
        <v>-5.78</v>
      </c>
      <c r="U7" s="20">
        <v>-1.24</v>
      </c>
    </row>
    <row r="8" spans="1:21" x14ac:dyDescent="0.25">
      <c r="A8" s="20" t="s">
        <v>19</v>
      </c>
      <c r="B8" s="20" t="str">
        <f t="shared" si="0"/>
        <v>2019</v>
      </c>
      <c r="C8" s="22">
        <v>1389030312</v>
      </c>
      <c r="D8" s="20">
        <v>5.17</v>
      </c>
      <c r="E8" s="20">
        <v>9.2799999999999994</v>
      </c>
      <c r="F8" s="20">
        <v>3.95</v>
      </c>
      <c r="G8" s="20">
        <v>8.1300000000000008</v>
      </c>
      <c r="H8" s="20">
        <v>1.1499999999999999</v>
      </c>
      <c r="I8" s="20">
        <v>2.73</v>
      </c>
      <c r="J8" s="20">
        <v>-58.7</v>
      </c>
      <c r="K8" s="20">
        <v>-57.51</v>
      </c>
      <c r="L8" s="20">
        <v>-14.18</v>
      </c>
      <c r="M8" s="20">
        <v>-13.84</v>
      </c>
      <c r="N8" s="20">
        <v>-3.38</v>
      </c>
      <c r="O8" s="20">
        <v>-0.37</v>
      </c>
      <c r="P8" s="20">
        <v>-0.84</v>
      </c>
      <c r="Q8" s="20">
        <v>-4.62</v>
      </c>
      <c r="R8" s="20">
        <v>186.18</v>
      </c>
      <c r="S8" s="20">
        <v>-53.86</v>
      </c>
      <c r="T8" s="20">
        <v>3.87</v>
      </c>
      <c r="U8" s="20">
        <v>6.37</v>
      </c>
    </row>
    <row r="9" spans="1:21" x14ac:dyDescent="0.25">
      <c r="A9" s="20" t="s">
        <v>20</v>
      </c>
      <c r="B9" s="20" t="str">
        <f t="shared" si="0"/>
        <v>2018</v>
      </c>
      <c r="C9" s="22">
        <v>1374659064</v>
      </c>
      <c r="D9" s="20">
        <v>7.09</v>
      </c>
      <c r="E9" s="20">
        <v>11.65</v>
      </c>
      <c r="F9" s="20">
        <v>6.7</v>
      </c>
      <c r="G9" s="20">
        <v>11.16</v>
      </c>
      <c r="H9" s="20">
        <v>11.2</v>
      </c>
      <c r="I9" s="20">
        <v>15.63</v>
      </c>
      <c r="J9" s="20">
        <v>27.29</v>
      </c>
      <c r="K9" s="20">
        <v>33.950000000000003</v>
      </c>
      <c r="L9" s="20">
        <v>-9.6999999999999993</v>
      </c>
      <c r="M9" s="20">
        <v>-6.45</v>
      </c>
      <c r="N9" s="20">
        <v>11.93</v>
      </c>
      <c r="O9" s="20">
        <v>17.27</v>
      </c>
      <c r="P9" s="20">
        <v>8.82</v>
      </c>
      <c r="Q9" s="20">
        <v>19.350000000000001</v>
      </c>
      <c r="R9" s="20">
        <v>-66.19</v>
      </c>
      <c r="S9" s="20">
        <v>-46.18</v>
      </c>
      <c r="T9" s="20">
        <v>6.45</v>
      </c>
      <c r="U9" s="20">
        <v>10.59</v>
      </c>
    </row>
    <row r="10" spans="1:21" x14ac:dyDescent="0.25">
      <c r="A10" s="20" t="s">
        <v>21</v>
      </c>
      <c r="B10" s="20" t="str">
        <f t="shared" si="0"/>
        <v>2017</v>
      </c>
      <c r="C10" s="22">
        <v>1359657400</v>
      </c>
      <c r="D10" s="20">
        <v>6.24</v>
      </c>
      <c r="E10" s="20">
        <v>9.9700000000000006</v>
      </c>
      <c r="F10" s="20">
        <v>11.92</v>
      </c>
      <c r="G10" s="20">
        <v>15.97</v>
      </c>
      <c r="H10" s="20">
        <v>7.8</v>
      </c>
      <c r="I10" s="20">
        <v>10.99</v>
      </c>
      <c r="J10" s="20">
        <v>68.33</v>
      </c>
      <c r="K10" s="20">
        <v>72.06</v>
      </c>
      <c r="L10" s="20">
        <v>40.159999999999997</v>
      </c>
      <c r="M10" s="20">
        <v>44.44</v>
      </c>
      <c r="N10" s="20">
        <v>4.5599999999999996</v>
      </c>
      <c r="O10" s="20">
        <v>8.91</v>
      </c>
      <c r="P10" s="20">
        <v>17.420000000000002</v>
      </c>
      <c r="Q10" s="20">
        <v>16.48</v>
      </c>
      <c r="R10" s="20">
        <v>59.6</v>
      </c>
      <c r="S10" s="20">
        <v>49.82</v>
      </c>
      <c r="T10" s="20">
        <v>6.8</v>
      </c>
      <c r="U10" s="20">
        <v>11.03</v>
      </c>
    </row>
    <row r="11" spans="1:21" x14ac:dyDescent="0.25">
      <c r="A11" s="20" t="s">
        <v>22</v>
      </c>
      <c r="B11" s="20" t="str">
        <f t="shared" si="0"/>
        <v>2016</v>
      </c>
      <c r="C11" s="22">
        <v>1343944296</v>
      </c>
      <c r="D11" s="20">
        <v>8.1300000000000008</v>
      </c>
      <c r="E11" s="20">
        <v>12.31</v>
      </c>
      <c r="F11" s="20">
        <v>6.07</v>
      </c>
      <c r="G11" s="20">
        <v>10.48</v>
      </c>
      <c r="H11" s="20">
        <v>8.4600000000000009</v>
      </c>
      <c r="I11" s="20">
        <v>9.64</v>
      </c>
      <c r="J11" s="20">
        <v>-48.81</v>
      </c>
      <c r="K11" s="20">
        <v>-47.39</v>
      </c>
      <c r="L11" s="20">
        <v>-18.55</v>
      </c>
      <c r="M11" s="20">
        <v>-17.78</v>
      </c>
      <c r="N11" s="20">
        <v>4.9800000000000004</v>
      </c>
      <c r="O11" s="20">
        <v>8.07</v>
      </c>
      <c r="P11" s="20">
        <v>4.38</v>
      </c>
      <c r="Q11" s="20">
        <v>5.77</v>
      </c>
      <c r="R11" s="20">
        <v>252.58</v>
      </c>
      <c r="S11" s="20">
        <v>198.76</v>
      </c>
      <c r="T11" s="20">
        <v>8.26</v>
      </c>
      <c r="U11" s="20">
        <v>11.76</v>
      </c>
    </row>
    <row r="12" spans="1:21" x14ac:dyDescent="0.25">
      <c r="A12" s="20" t="s">
        <v>23</v>
      </c>
      <c r="B12" s="20" t="str">
        <f t="shared" si="0"/>
        <v>2015</v>
      </c>
      <c r="C12" s="22">
        <v>1328024498</v>
      </c>
      <c r="D12" s="20">
        <v>7.93</v>
      </c>
      <c r="E12" s="20">
        <v>12.13</v>
      </c>
      <c r="F12" s="20">
        <v>7.46</v>
      </c>
      <c r="G12" s="20">
        <v>10.33</v>
      </c>
      <c r="H12" s="20">
        <v>6.53</v>
      </c>
      <c r="I12" s="20">
        <v>5.51</v>
      </c>
      <c r="J12" s="20">
        <v>-12.81</v>
      </c>
      <c r="K12" s="20">
        <v>-16.059999999999999</v>
      </c>
      <c r="L12" s="20">
        <v>-1.05</v>
      </c>
      <c r="M12" s="20">
        <v>-2.82</v>
      </c>
      <c r="N12" s="20">
        <v>-5.65</v>
      </c>
      <c r="O12" s="20">
        <v>-4.71</v>
      </c>
      <c r="P12" s="20">
        <v>-5.85</v>
      </c>
      <c r="Q12" s="20">
        <v>-5.9</v>
      </c>
      <c r="R12" s="20">
        <v>-421.81</v>
      </c>
      <c r="S12" s="20">
        <v>448.48</v>
      </c>
      <c r="T12" s="20">
        <v>8</v>
      </c>
      <c r="U12" s="20">
        <v>10.46</v>
      </c>
    </row>
    <row r="13" spans="1:21" x14ac:dyDescent="0.25">
      <c r="A13" s="20" t="s">
        <v>24</v>
      </c>
      <c r="B13" s="20" t="str">
        <f t="shared" si="0"/>
        <v>2014</v>
      </c>
      <c r="C13" s="22">
        <v>1312277191</v>
      </c>
      <c r="D13" s="20">
        <v>6.39</v>
      </c>
      <c r="E13" s="20">
        <v>11.92</v>
      </c>
      <c r="F13" s="20">
        <v>7.59</v>
      </c>
      <c r="G13" s="20">
        <v>12.56</v>
      </c>
      <c r="H13" s="20">
        <v>2.6</v>
      </c>
      <c r="I13" s="20">
        <v>6.68</v>
      </c>
      <c r="J13" s="20">
        <v>111.74</v>
      </c>
      <c r="K13" s="20">
        <v>116.22</v>
      </c>
      <c r="L13" s="20">
        <v>26.25</v>
      </c>
      <c r="M13" s="20">
        <v>29.45</v>
      </c>
      <c r="N13" s="20">
        <v>1.78</v>
      </c>
      <c r="O13" s="20">
        <v>0.24</v>
      </c>
      <c r="P13" s="20">
        <v>0.87</v>
      </c>
      <c r="Q13" s="20">
        <v>1.38</v>
      </c>
      <c r="R13" s="20">
        <v>-25.93</v>
      </c>
      <c r="S13" s="20">
        <v>-83.66</v>
      </c>
      <c r="T13" s="20">
        <v>7.41</v>
      </c>
      <c r="U13" s="20">
        <v>10.99</v>
      </c>
    </row>
    <row r="14" spans="1:21" x14ac:dyDescent="0.25">
      <c r="A14" s="20" t="s">
        <v>25</v>
      </c>
      <c r="B14" s="20" t="str">
        <f t="shared" si="0"/>
        <v>2013</v>
      </c>
      <c r="C14" s="22">
        <v>1295829511</v>
      </c>
      <c r="D14" s="20">
        <v>7.3</v>
      </c>
      <c r="E14" s="20">
        <v>15.34</v>
      </c>
      <c r="F14" s="20">
        <v>0.56999999999999995</v>
      </c>
      <c r="G14" s="20">
        <v>8.86</v>
      </c>
      <c r="H14" s="20">
        <v>1.56</v>
      </c>
      <c r="I14" s="20">
        <v>5.73</v>
      </c>
      <c r="J14" s="20">
        <v>-35.61</v>
      </c>
      <c r="K14" s="20">
        <v>-32.590000000000003</v>
      </c>
      <c r="L14" s="20">
        <v>-42.73</v>
      </c>
      <c r="M14" s="20">
        <v>-40.909999999999997</v>
      </c>
      <c r="N14" s="20">
        <v>7.79</v>
      </c>
      <c r="O14" s="20">
        <v>17.100000000000001</v>
      </c>
      <c r="P14" s="20">
        <v>-8.15</v>
      </c>
      <c r="Q14" s="20">
        <v>2.68</v>
      </c>
      <c r="R14" s="20">
        <v>-179.4</v>
      </c>
      <c r="S14" s="20">
        <v>-6.68</v>
      </c>
      <c r="T14" s="20">
        <v>6.39</v>
      </c>
      <c r="U14" s="20">
        <v>12.97</v>
      </c>
    </row>
    <row r="15" spans="1:21" x14ac:dyDescent="0.25">
      <c r="A15" s="20" t="s">
        <v>26</v>
      </c>
      <c r="B15" s="20" t="str">
        <f t="shared" si="0"/>
        <v>2012</v>
      </c>
      <c r="C15" s="22">
        <v>1278674502</v>
      </c>
      <c r="D15" s="20">
        <v>5.47</v>
      </c>
      <c r="E15" s="20">
        <v>14.34</v>
      </c>
      <c r="F15" s="20">
        <v>0.61</v>
      </c>
      <c r="G15" s="20">
        <v>9.7100000000000009</v>
      </c>
      <c r="H15" s="20">
        <v>4.9400000000000004</v>
      </c>
      <c r="I15" s="20">
        <v>10.92</v>
      </c>
      <c r="J15" s="20">
        <v>-3.1</v>
      </c>
      <c r="K15" s="20">
        <v>3.15</v>
      </c>
      <c r="L15" s="20">
        <v>2.73</v>
      </c>
      <c r="M15" s="20">
        <v>8.1999999999999993</v>
      </c>
      <c r="N15" s="20">
        <v>6.81</v>
      </c>
      <c r="O15" s="20">
        <v>13.8</v>
      </c>
      <c r="P15" s="20">
        <v>6.02</v>
      </c>
      <c r="Q15" s="20">
        <v>14.47</v>
      </c>
      <c r="R15" s="20">
        <v>-240.56</v>
      </c>
      <c r="S15" s="20">
        <v>-513.82000000000005</v>
      </c>
      <c r="T15" s="20">
        <v>5.46</v>
      </c>
      <c r="U15" s="20">
        <v>13.82</v>
      </c>
    </row>
    <row r="16" spans="1:21" x14ac:dyDescent="0.25">
      <c r="A16" s="20" t="s">
        <v>27</v>
      </c>
      <c r="B16" s="20" t="str">
        <f t="shared" si="0"/>
        <v>2011</v>
      </c>
      <c r="C16" s="22">
        <v>1261224954</v>
      </c>
      <c r="D16" s="20">
        <v>7.42</v>
      </c>
      <c r="E16" s="20">
        <v>17.53</v>
      </c>
      <c r="F16" s="20">
        <v>6.53</v>
      </c>
      <c r="G16" s="20">
        <v>15.23</v>
      </c>
      <c r="H16" s="20">
        <v>12.09</v>
      </c>
      <c r="I16" s="20">
        <v>18.16</v>
      </c>
      <c r="J16" s="20">
        <v>-43.41</v>
      </c>
      <c r="K16" s="20">
        <v>-37.630000000000003</v>
      </c>
      <c r="L16" s="20">
        <v>6.6</v>
      </c>
      <c r="M16" s="20">
        <v>51.49</v>
      </c>
      <c r="N16" s="20">
        <v>15.49</v>
      </c>
      <c r="O16" s="20">
        <v>25.36</v>
      </c>
      <c r="P16" s="20">
        <v>20.41</v>
      </c>
      <c r="Q16" s="20">
        <v>32.450000000000003</v>
      </c>
      <c r="R16" s="20">
        <v>-50.04</v>
      </c>
      <c r="S16" s="20">
        <v>-63.56</v>
      </c>
      <c r="T16" s="20">
        <v>5.24</v>
      </c>
      <c r="U16" s="20">
        <v>14.43</v>
      </c>
    </row>
    <row r="17" spans="1:21" x14ac:dyDescent="0.25">
      <c r="A17" s="20" t="s">
        <v>28</v>
      </c>
      <c r="B17" s="20" t="str">
        <f t="shared" si="0"/>
        <v>2010</v>
      </c>
      <c r="C17" s="22">
        <v>1243481564</v>
      </c>
      <c r="D17" s="20">
        <v>6.72</v>
      </c>
      <c r="E17" s="20">
        <v>17.27</v>
      </c>
      <c r="F17" s="20">
        <v>5.22</v>
      </c>
      <c r="G17" s="20">
        <v>15.19</v>
      </c>
      <c r="H17" s="20">
        <v>11.05</v>
      </c>
      <c r="I17" s="20">
        <v>17.37</v>
      </c>
      <c r="J17" s="20">
        <v>44.67</v>
      </c>
      <c r="K17" s="20">
        <v>52.65</v>
      </c>
      <c r="L17" s="20">
        <v>32.44</v>
      </c>
      <c r="M17" s="20">
        <v>40</v>
      </c>
      <c r="N17" s="20">
        <v>19.48</v>
      </c>
      <c r="O17" s="20">
        <v>31.68</v>
      </c>
      <c r="P17" s="20">
        <v>15.81</v>
      </c>
      <c r="Q17" s="20">
        <v>24.47</v>
      </c>
      <c r="R17" s="20">
        <v>-206.06</v>
      </c>
      <c r="S17" s="20">
        <v>6</v>
      </c>
      <c r="T17" s="20">
        <v>8.5</v>
      </c>
      <c r="U17" s="20">
        <v>19.920000000000002</v>
      </c>
    </row>
    <row r="18" spans="1:21" x14ac:dyDescent="0.25">
      <c r="A18" s="20" t="s">
        <v>29</v>
      </c>
      <c r="B18" s="20" t="str">
        <f t="shared" si="0"/>
        <v>2009</v>
      </c>
      <c r="C18" s="22">
        <v>1225524753</v>
      </c>
      <c r="D18" s="20">
        <v>5</v>
      </c>
      <c r="E18" s="20">
        <v>14</v>
      </c>
      <c r="F18" s="20">
        <v>14.19</v>
      </c>
      <c r="G18" s="20">
        <v>25.55</v>
      </c>
      <c r="H18" s="20">
        <v>7.68</v>
      </c>
      <c r="I18" s="20">
        <v>12.91</v>
      </c>
      <c r="J18" s="20">
        <v>67.72</v>
      </c>
      <c r="K18" s="20">
        <v>67.78</v>
      </c>
      <c r="L18" s="20">
        <v>57.57</v>
      </c>
      <c r="M18" s="20">
        <v>61.07</v>
      </c>
      <c r="N18" s="20">
        <v>-4.83</v>
      </c>
      <c r="O18" s="20">
        <v>-2.2599999999999998</v>
      </c>
      <c r="P18" s="20">
        <v>-1.93</v>
      </c>
      <c r="Q18" s="20">
        <v>2.0499999999999998</v>
      </c>
      <c r="R18" s="20">
        <v>-48.55</v>
      </c>
      <c r="S18" s="20">
        <v>199.58</v>
      </c>
      <c r="T18" s="20">
        <v>7.86</v>
      </c>
      <c r="U18" s="20">
        <v>15.46</v>
      </c>
    </row>
    <row r="19" spans="1:21" x14ac:dyDescent="0.25">
      <c r="A19" s="20" t="s">
        <v>30</v>
      </c>
      <c r="B19" s="20" t="str">
        <f t="shared" si="0"/>
        <v>2008</v>
      </c>
      <c r="C19" s="22">
        <v>1207930964</v>
      </c>
      <c r="D19" s="20">
        <v>4.45</v>
      </c>
      <c r="E19" s="20">
        <v>14.41</v>
      </c>
      <c r="F19" s="20">
        <v>11.36</v>
      </c>
      <c r="G19" s="20">
        <v>20.28</v>
      </c>
      <c r="H19" s="20">
        <v>3.2</v>
      </c>
      <c r="I19" s="20">
        <v>9.1199999999999992</v>
      </c>
      <c r="J19" s="20">
        <v>-51.38</v>
      </c>
      <c r="K19" s="20">
        <v>-47.01</v>
      </c>
      <c r="L19" s="20">
        <v>26.92</v>
      </c>
      <c r="M19" s="20">
        <v>34.75</v>
      </c>
      <c r="N19" s="20">
        <v>14.78</v>
      </c>
      <c r="O19" s="20">
        <v>30.41</v>
      </c>
      <c r="P19" s="20">
        <v>22.45</v>
      </c>
      <c r="Q19" s="20">
        <v>32.4</v>
      </c>
      <c r="R19" s="20">
        <v>-248.74</v>
      </c>
      <c r="S19" s="20">
        <v>-85.01</v>
      </c>
      <c r="T19" s="20">
        <v>3.09</v>
      </c>
      <c r="U19" s="20">
        <v>12.56</v>
      </c>
    </row>
    <row r="20" spans="1:21" x14ac:dyDescent="0.25">
      <c r="A20" s="20" t="s">
        <v>31</v>
      </c>
      <c r="B20" s="20" t="str">
        <f t="shared" si="0"/>
        <v>2007</v>
      </c>
      <c r="C20" s="22">
        <v>1190676021</v>
      </c>
      <c r="D20" s="20">
        <v>7.28</v>
      </c>
      <c r="E20" s="20">
        <v>14.42</v>
      </c>
      <c r="F20" s="20">
        <v>9.42</v>
      </c>
      <c r="G20" s="20">
        <v>15.84</v>
      </c>
      <c r="H20" s="20">
        <v>16.329999999999998</v>
      </c>
      <c r="I20" s="20">
        <v>22.78</v>
      </c>
      <c r="J20" s="20">
        <v>31.34</v>
      </c>
      <c r="K20" s="20">
        <v>37</v>
      </c>
      <c r="L20" s="20">
        <v>2.9</v>
      </c>
      <c r="M20" s="20">
        <v>7.81</v>
      </c>
      <c r="N20" s="20">
        <v>5.87</v>
      </c>
      <c r="O20" s="20">
        <v>12.6</v>
      </c>
      <c r="P20" s="20">
        <v>9.9499999999999993</v>
      </c>
      <c r="Q20" s="20">
        <v>17.16</v>
      </c>
      <c r="R20" s="20">
        <v>-198.67</v>
      </c>
      <c r="S20" s="20">
        <v>133.07</v>
      </c>
      <c r="T20" s="20">
        <v>7.66</v>
      </c>
      <c r="U20" s="20">
        <v>15.14</v>
      </c>
    </row>
    <row r="21" spans="1:21" x14ac:dyDescent="0.25">
      <c r="A21" s="20" t="s">
        <v>32</v>
      </c>
      <c r="B21" s="20" t="str">
        <f t="shared" si="0"/>
        <v>2006</v>
      </c>
      <c r="C21" s="22">
        <v>1172878890</v>
      </c>
      <c r="D21" s="20">
        <v>4.9400000000000004</v>
      </c>
      <c r="E21" s="20">
        <v>14.55</v>
      </c>
      <c r="F21" s="20">
        <v>4.05</v>
      </c>
      <c r="G21" s="20">
        <v>10.77</v>
      </c>
      <c r="H21" s="20">
        <v>13.87</v>
      </c>
      <c r="I21" s="20">
        <v>20.11</v>
      </c>
      <c r="J21" s="20">
        <v>31.57</v>
      </c>
      <c r="K21" s="20">
        <v>40.92</v>
      </c>
      <c r="L21" s="20">
        <v>13.66</v>
      </c>
      <c r="M21" s="20">
        <v>20.09</v>
      </c>
      <c r="N21" s="20">
        <v>20.39</v>
      </c>
      <c r="O21" s="20">
        <v>27.07</v>
      </c>
      <c r="P21" s="20">
        <v>21.5</v>
      </c>
      <c r="Q21" s="20">
        <v>27.91</v>
      </c>
      <c r="R21" s="20">
        <v>38.049999999999997</v>
      </c>
      <c r="S21" s="20">
        <v>-15.3</v>
      </c>
      <c r="T21" s="20">
        <v>8.06</v>
      </c>
      <c r="U21" s="20">
        <v>17.14</v>
      </c>
    </row>
    <row r="22" spans="1:21" x14ac:dyDescent="0.25">
      <c r="A22" s="20" t="s">
        <v>33</v>
      </c>
      <c r="B22" s="20" t="str">
        <f t="shared" si="0"/>
        <v>2005</v>
      </c>
      <c r="C22" s="22">
        <v>1154676322</v>
      </c>
      <c r="D22" s="20">
        <v>7.46</v>
      </c>
      <c r="E22" s="20">
        <v>12.09</v>
      </c>
      <c r="F22" s="20">
        <v>8.82</v>
      </c>
      <c r="G22" s="20">
        <v>13.57</v>
      </c>
      <c r="H22" s="20">
        <v>16.440000000000001</v>
      </c>
      <c r="I22" s="20">
        <v>21.59</v>
      </c>
      <c r="J22" s="20">
        <v>26.65</v>
      </c>
      <c r="K22" s="20">
        <v>30.24</v>
      </c>
      <c r="L22" s="20">
        <v>-1.56</v>
      </c>
      <c r="M22" s="20">
        <v>0.82</v>
      </c>
      <c r="N22" s="20">
        <v>26.09</v>
      </c>
      <c r="O22" s="20">
        <v>25.14</v>
      </c>
      <c r="P22" s="20">
        <v>32.270000000000003</v>
      </c>
      <c r="Q22" s="20">
        <v>29.96</v>
      </c>
      <c r="R22" s="20">
        <v>-51.67</v>
      </c>
      <c r="S22" s="20">
        <v>31.35</v>
      </c>
      <c r="T22" s="20">
        <v>7.92</v>
      </c>
      <c r="U22" s="20">
        <v>13.99</v>
      </c>
    </row>
    <row r="23" spans="1:21" x14ac:dyDescent="0.25">
      <c r="A23" s="20" t="s">
        <v>34</v>
      </c>
      <c r="B23" s="20" t="str">
        <f t="shared" si="0"/>
        <v>2004</v>
      </c>
      <c r="C23" s="22">
        <v>1135991513</v>
      </c>
      <c r="D23" s="20">
        <v>5.17</v>
      </c>
      <c r="E23" s="20">
        <v>8.25</v>
      </c>
      <c r="F23" s="20">
        <v>3.98</v>
      </c>
      <c r="G23" s="20">
        <v>9.16</v>
      </c>
      <c r="H23" s="20">
        <v>11.45</v>
      </c>
      <c r="I23" s="20">
        <v>23.66</v>
      </c>
      <c r="J23" s="20">
        <v>269.91000000000003</v>
      </c>
      <c r="K23" s="20">
        <v>118.39</v>
      </c>
      <c r="L23" s="20">
        <v>57.25</v>
      </c>
      <c r="M23" s="20">
        <v>67.08</v>
      </c>
      <c r="N23" s="20">
        <v>27.18</v>
      </c>
      <c r="O23" s="20">
        <v>36.32</v>
      </c>
      <c r="P23" s="20">
        <v>22.2</v>
      </c>
      <c r="Q23" s="20">
        <v>43.28</v>
      </c>
      <c r="R23" s="20" t="s">
        <v>35</v>
      </c>
      <c r="S23" s="20" t="s">
        <v>35</v>
      </c>
      <c r="T23" s="20">
        <v>7.92</v>
      </c>
      <c r="U23" s="20">
        <v>14.1</v>
      </c>
    </row>
    <row r="24" spans="1:21" x14ac:dyDescent="0.25">
      <c r="A24" s="20" t="s">
        <v>36</v>
      </c>
      <c r="B24" s="20" t="str">
        <f t="shared" si="0"/>
        <v>2003</v>
      </c>
      <c r="C24" s="22">
        <v>1116803006</v>
      </c>
      <c r="D24" s="20">
        <v>5.93</v>
      </c>
      <c r="E24" s="20">
        <v>9.32</v>
      </c>
      <c r="F24" s="20">
        <v>2.78</v>
      </c>
      <c r="G24" s="20">
        <v>7.7</v>
      </c>
      <c r="H24" s="20">
        <v>5.12</v>
      </c>
      <c r="I24" s="20">
        <v>12.04</v>
      </c>
      <c r="J24" s="20">
        <v>8.07</v>
      </c>
      <c r="K24" s="20">
        <v>33.520000000000003</v>
      </c>
      <c r="L24" s="20">
        <v>66.599999999999994</v>
      </c>
      <c r="M24" s="20">
        <v>76.06</v>
      </c>
      <c r="N24" s="20">
        <v>9.58</v>
      </c>
      <c r="O24" s="20">
        <v>17.399999999999999</v>
      </c>
      <c r="P24" s="20">
        <v>13.88</v>
      </c>
      <c r="Q24" s="20">
        <v>14.97</v>
      </c>
      <c r="R24" s="20" t="s">
        <v>35</v>
      </c>
      <c r="S24" s="20" t="s">
        <v>35</v>
      </c>
      <c r="T24" s="20">
        <v>7.86</v>
      </c>
      <c r="U24" s="20">
        <v>12.03</v>
      </c>
    </row>
    <row r="25" spans="1:21" x14ac:dyDescent="0.25">
      <c r="A25" s="20" t="s">
        <v>37</v>
      </c>
      <c r="B25" s="20" t="str">
        <f t="shared" si="0"/>
        <v>2002</v>
      </c>
      <c r="C25" s="22">
        <v>1097600380</v>
      </c>
      <c r="D25" s="20">
        <v>2.87</v>
      </c>
      <c r="E25" s="20">
        <v>5.79</v>
      </c>
      <c r="F25" s="20">
        <v>-0.19</v>
      </c>
      <c r="G25" s="20">
        <v>3.57</v>
      </c>
      <c r="H25" s="20">
        <v>-0.72</v>
      </c>
      <c r="I25" s="20">
        <v>1.91</v>
      </c>
      <c r="J25" s="20">
        <v>-675.99</v>
      </c>
      <c r="K25" s="20">
        <v>-321.66000000000003</v>
      </c>
      <c r="L25" s="20">
        <v>-4.1500000000000004</v>
      </c>
      <c r="M25" s="20">
        <v>-1.62</v>
      </c>
      <c r="N25" s="20">
        <v>21.09</v>
      </c>
      <c r="O25" s="20">
        <v>22.29</v>
      </c>
      <c r="P25" s="20">
        <v>12</v>
      </c>
      <c r="Q25" s="20">
        <v>22.16</v>
      </c>
      <c r="R25" s="20" t="s">
        <v>35</v>
      </c>
      <c r="S25" s="20" t="s">
        <v>35</v>
      </c>
      <c r="T25" s="20">
        <v>3.8</v>
      </c>
      <c r="U25" s="20">
        <v>7.66</v>
      </c>
    </row>
    <row r="26" spans="1:21" x14ac:dyDescent="0.25">
      <c r="A26" s="20" t="s">
        <v>38</v>
      </c>
      <c r="B26" s="20" t="str">
        <f t="shared" si="0"/>
        <v>2001</v>
      </c>
      <c r="C26" s="22">
        <v>1077898575</v>
      </c>
      <c r="D26" s="20">
        <v>5.95</v>
      </c>
      <c r="E26" s="20">
        <v>8.89</v>
      </c>
      <c r="F26" s="20">
        <v>2.35</v>
      </c>
      <c r="G26" s="20">
        <v>6.51</v>
      </c>
      <c r="H26" s="20">
        <v>22.19</v>
      </c>
      <c r="I26" s="20">
        <v>24.45</v>
      </c>
      <c r="J26" s="20">
        <v>-120.1</v>
      </c>
      <c r="K26" s="20">
        <v>-32.729999999999997</v>
      </c>
      <c r="L26" s="20">
        <v>-5.38</v>
      </c>
      <c r="M26" s="20">
        <v>-3.65</v>
      </c>
      <c r="N26" s="20">
        <v>4.3099999999999996</v>
      </c>
      <c r="O26" s="20">
        <v>4.54</v>
      </c>
      <c r="P26" s="20">
        <v>2.94</v>
      </c>
      <c r="Q26" s="20">
        <v>4.55</v>
      </c>
      <c r="R26" s="20" t="s">
        <v>35</v>
      </c>
      <c r="S26" s="20" t="s">
        <v>35</v>
      </c>
      <c r="T26" s="20">
        <v>4.82</v>
      </c>
      <c r="U26" s="20">
        <v>8.19</v>
      </c>
    </row>
    <row r="27" spans="1:21" x14ac:dyDescent="0.25">
      <c r="A27" s="20" t="s">
        <v>39</v>
      </c>
      <c r="B27" s="20" t="str">
        <f t="shared" si="0"/>
        <v>2000</v>
      </c>
      <c r="C27" s="22">
        <v>1057922733</v>
      </c>
      <c r="D27" s="20">
        <v>3.44</v>
      </c>
      <c r="E27" s="20">
        <v>7.17</v>
      </c>
      <c r="F27" s="20">
        <v>1.38</v>
      </c>
      <c r="G27" s="20">
        <v>5.61</v>
      </c>
      <c r="H27" s="20">
        <v>-1.79</v>
      </c>
      <c r="I27" s="20">
        <v>1.71</v>
      </c>
      <c r="J27" s="20">
        <v>-67.25</v>
      </c>
      <c r="K27" s="20">
        <v>-143.11000000000001</v>
      </c>
      <c r="L27" s="20">
        <v>-8.14</v>
      </c>
      <c r="M27" s="20">
        <v>-5.12</v>
      </c>
      <c r="N27" s="20">
        <v>18.149999999999999</v>
      </c>
      <c r="O27" s="20">
        <v>22.15</v>
      </c>
      <c r="P27" s="20">
        <v>4.59</v>
      </c>
      <c r="Q27" s="20">
        <v>11.98</v>
      </c>
      <c r="R27" s="20" t="s">
        <v>35</v>
      </c>
      <c r="S27" s="20" t="s">
        <v>35</v>
      </c>
      <c r="T27" s="20">
        <v>3.84</v>
      </c>
      <c r="U27" s="20">
        <v>7.63</v>
      </c>
    </row>
    <row r="28" spans="1:21" x14ac:dyDescent="0.25">
      <c r="A28" s="20" t="s">
        <v>40</v>
      </c>
      <c r="B28" s="20" t="str">
        <f t="shared" si="0"/>
        <v>1999</v>
      </c>
      <c r="C28" s="22">
        <v>1038225823</v>
      </c>
      <c r="D28" s="20">
        <v>6.08</v>
      </c>
      <c r="E28" s="20">
        <v>12.54</v>
      </c>
      <c r="F28" s="20">
        <v>11.78</v>
      </c>
      <c r="G28" s="20">
        <v>14.69</v>
      </c>
      <c r="H28" s="20">
        <v>16.739999999999998</v>
      </c>
      <c r="I28" s="20">
        <v>21.34</v>
      </c>
      <c r="J28" s="20">
        <v>-1112.97</v>
      </c>
      <c r="K28" s="20">
        <v>-708.59</v>
      </c>
      <c r="L28" s="20" t="s">
        <v>35</v>
      </c>
      <c r="M28" s="20" t="s">
        <v>35</v>
      </c>
      <c r="N28" s="20">
        <v>18</v>
      </c>
      <c r="O28" s="20">
        <v>16.600000000000001</v>
      </c>
      <c r="P28" s="20">
        <v>6.99</v>
      </c>
      <c r="Q28" s="20">
        <v>18.22</v>
      </c>
      <c r="R28" s="20" t="s">
        <v>35</v>
      </c>
      <c r="S28" s="20" t="s">
        <v>35</v>
      </c>
      <c r="T28" s="20">
        <v>8.85</v>
      </c>
      <c r="U28" s="20">
        <v>12.19</v>
      </c>
    </row>
    <row r="29" spans="1:21" x14ac:dyDescent="0.25">
      <c r="A29" s="20" t="s">
        <v>41</v>
      </c>
      <c r="B29" s="20" t="str">
        <f t="shared" si="0"/>
        <v>1998</v>
      </c>
      <c r="C29" s="22">
        <v>1018665080</v>
      </c>
      <c r="D29" s="20">
        <v>6.5</v>
      </c>
      <c r="E29" s="20">
        <v>14.5</v>
      </c>
      <c r="F29" s="20">
        <v>12.19</v>
      </c>
      <c r="G29" s="20">
        <v>23.85</v>
      </c>
      <c r="H29" s="20">
        <v>10.62</v>
      </c>
      <c r="I29" s="20">
        <v>15.18</v>
      </c>
      <c r="J29" s="20">
        <v>-130.84</v>
      </c>
      <c r="K29" s="20">
        <v>-261.79000000000002</v>
      </c>
      <c r="L29" s="20" t="s">
        <v>35</v>
      </c>
      <c r="M29" s="20" t="s">
        <v>35</v>
      </c>
      <c r="N29" s="20">
        <v>13.88</v>
      </c>
      <c r="O29" s="20">
        <v>18.21</v>
      </c>
      <c r="P29" s="20">
        <v>20.85</v>
      </c>
      <c r="Q29" s="20">
        <v>21.92</v>
      </c>
      <c r="R29" s="20" t="s">
        <v>35</v>
      </c>
      <c r="S29" s="20" t="s">
        <v>35</v>
      </c>
      <c r="T29" s="20">
        <v>6.18</v>
      </c>
      <c r="U29" s="20">
        <v>14.69</v>
      </c>
    </row>
    <row r="30" spans="1:21" x14ac:dyDescent="0.25">
      <c r="A30" s="20" t="s">
        <v>42</v>
      </c>
      <c r="B30" s="20" t="str">
        <f t="shared" si="0"/>
        <v>1997</v>
      </c>
      <c r="C30" s="22">
        <v>999133762</v>
      </c>
      <c r="D30" s="20">
        <v>2.99</v>
      </c>
      <c r="E30" s="20">
        <v>9.68</v>
      </c>
      <c r="F30" s="20">
        <v>11.25</v>
      </c>
      <c r="G30" s="20">
        <v>18.27</v>
      </c>
      <c r="H30" s="20">
        <v>9.1</v>
      </c>
      <c r="I30" s="20">
        <v>14.52</v>
      </c>
      <c r="J30" s="20">
        <v>-175.05</v>
      </c>
      <c r="K30" s="20">
        <v>-121.5</v>
      </c>
      <c r="L30" s="20" t="s">
        <v>35</v>
      </c>
      <c r="M30" s="20" t="s">
        <v>35</v>
      </c>
      <c r="N30" s="20">
        <v>-2.33</v>
      </c>
      <c r="O30" s="20">
        <v>14.05</v>
      </c>
      <c r="P30" s="20">
        <v>13.2</v>
      </c>
      <c r="Q30" s="20">
        <v>14.48</v>
      </c>
      <c r="R30" s="20" t="s">
        <v>35</v>
      </c>
      <c r="S30" s="20" t="s">
        <v>35</v>
      </c>
      <c r="T30" s="20">
        <v>4.05</v>
      </c>
      <c r="U30" s="20">
        <v>10.79</v>
      </c>
    </row>
    <row r="31" spans="1:21" x14ac:dyDescent="0.25">
      <c r="A31" s="20" t="s">
        <v>43</v>
      </c>
      <c r="B31" s="20" t="str">
        <f t="shared" si="0"/>
        <v>1996</v>
      </c>
      <c r="C31" s="22">
        <v>979678458</v>
      </c>
      <c r="D31" s="20">
        <v>7.77</v>
      </c>
      <c r="E31" s="20">
        <v>17.25</v>
      </c>
      <c r="F31" s="20">
        <v>4.6399999999999997</v>
      </c>
      <c r="G31" s="20">
        <v>13.4</v>
      </c>
      <c r="H31" s="20">
        <v>4.7</v>
      </c>
      <c r="I31" s="20">
        <v>12.88</v>
      </c>
      <c r="J31" s="20">
        <v>-165.81</v>
      </c>
      <c r="K31" s="20">
        <v>-150.87</v>
      </c>
      <c r="L31" s="20" t="s">
        <v>35</v>
      </c>
      <c r="M31" s="20" t="s">
        <v>35</v>
      </c>
      <c r="N31" s="20">
        <v>6.29</v>
      </c>
      <c r="O31" s="20">
        <v>10.8</v>
      </c>
      <c r="P31" s="20">
        <v>-2.44</v>
      </c>
      <c r="Q31" s="20">
        <v>11.09</v>
      </c>
      <c r="R31" s="20" t="s">
        <v>35</v>
      </c>
      <c r="S31" s="20" t="s">
        <v>35</v>
      </c>
      <c r="T31" s="20">
        <v>7.55</v>
      </c>
      <c r="U31" s="20">
        <v>15.7</v>
      </c>
    </row>
    <row r="32" spans="1:21" x14ac:dyDescent="0.25">
      <c r="A32" s="20" t="s">
        <v>44</v>
      </c>
      <c r="B32" s="20" t="str">
        <f t="shared" si="0"/>
        <v>1995</v>
      </c>
      <c r="C32" s="22">
        <v>960301044</v>
      </c>
      <c r="D32" s="20">
        <v>6.09</v>
      </c>
      <c r="E32" s="20">
        <v>15.26</v>
      </c>
      <c r="F32" s="20">
        <v>7.8</v>
      </c>
      <c r="G32" s="20">
        <v>18.5</v>
      </c>
      <c r="H32" s="20">
        <v>12.12</v>
      </c>
      <c r="I32" s="20">
        <v>26.25</v>
      </c>
      <c r="J32" s="20">
        <v>59.2</v>
      </c>
      <c r="K32" s="20">
        <v>59.63</v>
      </c>
      <c r="L32" s="20" t="s">
        <v>35</v>
      </c>
      <c r="M32" s="20" t="s">
        <v>35</v>
      </c>
      <c r="N32" s="20">
        <v>31.4</v>
      </c>
      <c r="O32" s="20">
        <v>28.67</v>
      </c>
      <c r="P32" s="20">
        <v>28.13</v>
      </c>
      <c r="Q32" s="20">
        <v>38.43</v>
      </c>
      <c r="R32" s="20" t="s">
        <v>35</v>
      </c>
      <c r="S32" s="20" t="s">
        <v>35</v>
      </c>
      <c r="T32" s="20">
        <v>7.57</v>
      </c>
      <c r="U32" s="20">
        <v>17.32</v>
      </c>
    </row>
    <row r="33" spans="1:21" x14ac:dyDescent="0.25">
      <c r="A33" s="20" t="s">
        <v>45</v>
      </c>
      <c r="B33" s="20" t="str">
        <f t="shared" si="0"/>
        <v>1994</v>
      </c>
      <c r="C33" s="22">
        <v>941163767</v>
      </c>
      <c r="D33" s="20">
        <v>4.8600000000000003</v>
      </c>
      <c r="E33" s="20">
        <v>16.21</v>
      </c>
      <c r="F33" s="20">
        <v>1.38</v>
      </c>
      <c r="G33" s="20">
        <v>11.26</v>
      </c>
      <c r="H33" s="20">
        <v>5.76</v>
      </c>
      <c r="I33" s="20">
        <v>15.77</v>
      </c>
      <c r="J33" s="20">
        <v>-664.22</v>
      </c>
      <c r="K33" s="20">
        <v>-463.9</v>
      </c>
      <c r="L33" s="20" t="s">
        <v>35</v>
      </c>
      <c r="M33" s="20" t="s">
        <v>35</v>
      </c>
      <c r="N33" s="20">
        <v>13.04</v>
      </c>
      <c r="O33" s="20">
        <v>17.95</v>
      </c>
      <c r="P33" s="20">
        <v>22.6</v>
      </c>
      <c r="Q33" s="20">
        <v>21.76</v>
      </c>
      <c r="R33" s="20" t="s">
        <v>35</v>
      </c>
      <c r="S33" s="20" t="s">
        <v>35</v>
      </c>
      <c r="T33" s="20">
        <v>6.66</v>
      </c>
      <c r="U33" s="20">
        <v>17.3</v>
      </c>
    </row>
    <row r="34" spans="1:21" x14ac:dyDescent="0.25">
      <c r="A34" s="20" t="s">
        <v>46</v>
      </c>
      <c r="B34" s="20" t="str">
        <f t="shared" si="0"/>
        <v>1993</v>
      </c>
      <c r="C34" s="22">
        <v>922118387</v>
      </c>
      <c r="D34" s="20">
        <v>4.3499999999999996</v>
      </c>
      <c r="E34" s="20">
        <v>14.57</v>
      </c>
      <c r="F34" s="20">
        <v>5.94</v>
      </c>
      <c r="G34" s="20">
        <v>16</v>
      </c>
      <c r="H34" s="20">
        <v>-0.83</v>
      </c>
      <c r="I34" s="20">
        <v>8.56</v>
      </c>
      <c r="J34" s="20">
        <v>-120.82</v>
      </c>
      <c r="K34" s="20">
        <v>-146.57</v>
      </c>
      <c r="L34" s="20" t="s">
        <v>35</v>
      </c>
      <c r="M34" s="20" t="s">
        <v>35</v>
      </c>
      <c r="N34" s="20">
        <v>13.78</v>
      </c>
      <c r="O34" s="20">
        <v>27.98</v>
      </c>
      <c r="P34" s="20">
        <v>19.27</v>
      </c>
      <c r="Q34" s="20">
        <v>17.809999999999999</v>
      </c>
      <c r="R34" s="20" t="s">
        <v>35</v>
      </c>
      <c r="S34" s="20" t="s">
        <v>35</v>
      </c>
      <c r="T34" s="20">
        <v>4.75</v>
      </c>
      <c r="U34" s="20">
        <v>15.08</v>
      </c>
    </row>
    <row r="35" spans="1:21" x14ac:dyDescent="0.25">
      <c r="A35" s="20" t="s">
        <v>47</v>
      </c>
      <c r="B35" s="20" t="str">
        <f t="shared" si="0"/>
        <v>1992</v>
      </c>
      <c r="C35" s="22">
        <v>902957070</v>
      </c>
      <c r="D35" s="20">
        <v>2.58</v>
      </c>
      <c r="E35" s="20">
        <v>12.75</v>
      </c>
      <c r="F35" s="20">
        <v>3.45</v>
      </c>
      <c r="G35" s="20">
        <v>13.24</v>
      </c>
      <c r="H35" s="20">
        <v>10.6</v>
      </c>
      <c r="I35" s="20">
        <v>17.3</v>
      </c>
      <c r="J35" s="20">
        <v>-1123.25</v>
      </c>
      <c r="K35" s="20">
        <v>385.8</v>
      </c>
      <c r="L35" s="20" t="s">
        <v>35</v>
      </c>
      <c r="M35" s="20" t="s">
        <v>35</v>
      </c>
      <c r="N35" s="20">
        <v>4.8899999999999997</v>
      </c>
      <c r="O35" s="20">
        <v>19.66</v>
      </c>
      <c r="P35" s="20">
        <v>21.13</v>
      </c>
      <c r="Q35" s="20">
        <v>29.78</v>
      </c>
      <c r="R35" s="20" t="s">
        <v>35</v>
      </c>
      <c r="S35" s="20" t="s">
        <v>35</v>
      </c>
      <c r="T35" s="20">
        <v>5.48</v>
      </c>
      <c r="U35" s="20">
        <v>14.94</v>
      </c>
    </row>
    <row r="36" spans="1:21" x14ac:dyDescent="0.25">
      <c r="A36" s="20" t="s">
        <v>48</v>
      </c>
      <c r="B36" s="20" t="str">
        <f t="shared" si="0"/>
        <v>1991</v>
      </c>
      <c r="C36" s="22">
        <v>883927600</v>
      </c>
      <c r="D36" s="20">
        <v>2.16</v>
      </c>
      <c r="E36" s="20">
        <v>14.86</v>
      </c>
      <c r="F36" s="20">
        <v>-0.17</v>
      </c>
      <c r="G36" s="20">
        <v>12.85</v>
      </c>
      <c r="H36" s="20">
        <v>-7.7</v>
      </c>
      <c r="I36" s="20">
        <v>8.35</v>
      </c>
      <c r="J36" s="20">
        <v>-111.89</v>
      </c>
      <c r="K36" s="20">
        <v>-49.02</v>
      </c>
      <c r="L36" s="20" t="s">
        <v>35</v>
      </c>
      <c r="M36" s="20" t="s">
        <v>35</v>
      </c>
      <c r="N36" s="20">
        <v>9.66</v>
      </c>
      <c r="O36" s="20">
        <v>38.44</v>
      </c>
      <c r="P36" s="20">
        <v>0.02</v>
      </c>
      <c r="Q36" s="20">
        <v>15.51</v>
      </c>
      <c r="R36" s="20" t="s">
        <v>35</v>
      </c>
      <c r="S36" s="20" t="s">
        <v>35</v>
      </c>
      <c r="T36" s="20">
        <v>1.06</v>
      </c>
      <c r="U36" s="20">
        <v>14.95</v>
      </c>
    </row>
    <row r="37" spans="1:21" x14ac:dyDescent="0.25">
      <c r="A37" s="20" t="s">
        <v>49</v>
      </c>
      <c r="B37" s="20" t="str">
        <f t="shared" si="0"/>
        <v>1990</v>
      </c>
      <c r="C37" s="22">
        <v>864972221</v>
      </c>
      <c r="D37" s="20">
        <v>4.47</v>
      </c>
      <c r="E37" s="20">
        <v>14.91</v>
      </c>
      <c r="F37" s="20">
        <v>3.4</v>
      </c>
      <c r="G37" s="20">
        <v>13.98</v>
      </c>
      <c r="H37" s="20">
        <v>16.48</v>
      </c>
      <c r="I37" s="20">
        <v>23.95</v>
      </c>
      <c r="J37" s="20">
        <v>-6.21</v>
      </c>
      <c r="K37" s="20">
        <v>-35.880000000000003</v>
      </c>
      <c r="L37" s="20" t="s">
        <v>35</v>
      </c>
      <c r="M37" s="20" t="s">
        <v>35</v>
      </c>
      <c r="N37" s="20">
        <v>11.1</v>
      </c>
      <c r="O37" s="20">
        <v>17.41</v>
      </c>
      <c r="P37" s="20">
        <v>3.37</v>
      </c>
      <c r="Q37" s="20">
        <v>21.1</v>
      </c>
      <c r="R37" s="20" t="s">
        <v>35</v>
      </c>
      <c r="S37" s="20" t="s">
        <v>35</v>
      </c>
      <c r="T37" s="20">
        <v>5.53</v>
      </c>
      <c r="U37" s="20">
        <v>16.79</v>
      </c>
    </row>
    <row r="38" spans="1:21" x14ac:dyDescent="0.25">
      <c r="A38" s="20" t="s">
        <v>50</v>
      </c>
      <c r="B38" s="20" t="str">
        <f t="shared" si="0"/>
        <v>1989</v>
      </c>
      <c r="C38" s="22">
        <v>846039529</v>
      </c>
      <c r="D38" s="20">
        <v>4.96</v>
      </c>
      <c r="E38" s="20">
        <v>11.69</v>
      </c>
      <c r="F38" s="20">
        <v>5.34</v>
      </c>
      <c r="G38" s="20">
        <v>14.48</v>
      </c>
      <c r="H38" s="20">
        <v>8.73</v>
      </c>
      <c r="I38" s="20">
        <v>19.78</v>
      </c>
      <c r="J38" s="20">
        <v>-33.56</v>
      </c>
      <c r="K38" s="20">
        <v>-3.19</v>
      </c>
      <c r="L38" s="20" t="s">
        <v>35</v>
      </c>
      <c r="M38" s="20" t="s">
        <v>35</v>
      </c>
      <c r="N38" s="20">
        <v>11.98</v>
      </c>
      <c r="O38" s="20">
        <v>33.56</v>
      </c>
      <c r="P38" s="20">
        <v>2.08</v>
      </c>
      <c r="Q38" s="20">
        <v>25.62</v>
      </c>
      <c r="R38" s="20" t="s">
        <v>35</v>
      </c>
      <c r="S38" s="20" t="s">
        <v>35</v>
      </c>
      <c r="T38" s="20">
        <v>5.95</v>
      </c>
      <c r="U38" s="20">
        <v>14.89</v>
      </c>
    </row>
    <row r="39" spans="1:21" x14ac:dyDescent="0.25">
      <c r="A39" s="20" t="s">
        <v>51</v>
      </c>
      <c r="B39" s="20" t="str">
        <f t="shared" si="0"/>
        <v>1988</v>
      </c>
      <c r="C39" s="22">
        <v>827342990</v>
      </c>
      <c r="D39" s="20">
        <v>6.24</v>
      </c>
      <c r="E39" s="20">
        <v>16.440000000000001</v>
      </c>
      <c r="F39" s="20">
        <v>5.48</v>
      </c>
      <c r="G39" s="20">
        <v>15.42</v>
      </c>
      <c r="H39" s="20">
        <v>3.46</v>
      </c>
      <c r="I39" s="20">
        <v>14.42</v>
      </c>
      <c r="J39" s="20">
        <v>302.27</v>
      </c>
      <c r="K39" s="20">
        <v>132.47</v>
      </c>
      <c r="L39" s="20" t="s">
        <v>35</v>
      </c>
      <c r="M39" s="20" t="s">
        <v>35</v>
      </c>
      <c r="N39" s="20">
        <v>7.47</v>
      </c>
      <c r="O39" s="20">
        <v>27.77</v>
      </c>
      <c r="P39" s="20">
        <v>9.19</v>
      </c>
      <c r="Q39" s="20">
        <v>26.73</v>
      </c>
      <c r="R39" s="20" t="s">
        <v>35</v>
      </c>
      <c r="S39" s="20" t="s">
        <v>35</v>
      </c>
      <c r="T39" s="20">
        <v>9.6300000000000008</v>
      </c>
      <c r="U39" s="20">
        <v>18.649999999999999</v>
      </c>
    </row>
    <row r="40" spans="1:21" x14ac:dyDescent="0.25">
      <c r="A40" s="20" t="s">
        <v>52</v>
      </c>
      <c r="B40" s="20" t="str">
        <f t="shared" si="0"/>
        <v>1987</v>
      </c>
      <c r="C40" s="22">
        <v>808931270</v>
      </c>
      <c r="D40" s="20">
        <v>3.43</v>
      </c>
      <c r="E40" s="20">
        <v>11.01</v>
      </c>
      <c r="F40" s="20">
        <v>8.19</v>
      </c>
      <c r="G40" s="20">
        <v>17.39</v>
      </c>
      <c r="H40" s="20">
        <v>11.05</v>
      </c>
      <c r="I40" s="20">
        <v>21.32</v>
      </c>
      <c r="J40" s="20">
        <v>-71.66</v>
      </c>
      <c r="K40" s="20">
        <v>-50.31</v>
      </c>
      <c r="L40" s="20" t="s">
        <v>35</v>
      </c>
      <c r="M40" s="20" t="s">
        <v>35</v>
      </c>
      <c r="N40" s="20">
        <v>12.73</v>
      </c>
      <c r="O40" s="20">
        <v>22.6</v>
      </c>
      <c r="P40" s="20">
        <v>-1.67</v>
      </c>
      <c r="Q40" s="20">
        <v>12.97</v>
      </c>
      <c r="R40" s="20" t="s">
        <v>35</v>
      </c>
      <c r="S40" s="20" t="s">
        <v>35</v>
      </c>
      <c r="T40" s="20">
        <v>3.97</v>
      </c>
      <c r="U40" s="20">
        <v>13.66</v>
      </c>
    </row>
    <row r="41" spans="1:21" x14ac:dyDescent="0.25">
      <c r="A41" s="20" t="s">
        <v>53</v>
      </c>
      <c r="B41" s="20" t="str">
        <f t="shared" si="0"/>
        <v>1986</v>
      </c>
      <c r="C41" s="22">
        <v>790689978</v>
      </c>
      <c r="D41" s="20">
        <v>3.16</v>
      </c>
      <c r="E41" s="20">
        <v>12.17</v>
      </c>
      <c r="F41" s="20">
        <v>9.4</v>
      </c>
      <c r="G41" s="20">
        <v>18.239999999999998</v>
      </c>
      <c r="H41" s="20">
        <v>9.5299999999999994</v>
      </c>
      <c r="I41" s="20">
        <v>17.52</v>
      </c>
      <c r="J41" s="20">
        <v>-22.26</v>
      </c>
      <c r="K41" s="20">
        <v>-23.73</v>
      </c>
      <c r="L41" s="20" t="s">
        <v>35</v>
      </c>
      <c r="M41" s="20" t="s">
        <v>35</v>
      </c>
      <c r="N41" s="20">
        <v>5.43</v>
      </c>
      <c r="O41" s="20">
        <v>10.65</v>
      </c>
      <c r="P41" s="20">
        <v>17.079999999999998</v>
      </c>
      <c r="Q41" s="20">
        <v>2.78</v>
      </c>
      <c r="R41" s="20" t="s">
        <v>35</v>
      </c>
      <c r="S41" s="20" t="s">
        <v>35</v>
      </c>
      <c r="T41" s="20">
        <v>4.78</v>
      </c>
      <c r="U41" s="20">
        <v>11.89</v>
      </c>
    </row>
    <row r="42" spans="1:21" x14ac:dyDescent="0.25">
      <c r="A42" s="20" t="s">
        <v>54</v>
      </c>
      <c r="B42" s="20" t="str">
        <f t="shared" si="0"/>
        <v>1985</v>
      </c>
      <c r="C42" s="22">
        <v>772647793</v>
      </c>
      <c r="D42" s="20">
        <v>4.17</v>
      </c>
      <c r="E42" s="20">
        <v>10.37</v>
      </c>
      <c r="F42" s="20">
        <v>10.54</v>
      </c>
      <c r="G42" s="20">
        <v>19.079999999999998</v>
      </c>
      <c r="H42" s="20">
        <v>4.6100000000000003</v>
      </c>
      <c r="I42" s="20">
        <v>17.98</v>
      </c>
      <c r="J42" s="20">
        <v>56.99</v>
      </c>
      <c r="K42" s="20">
        <v>114.6</v>
      </c>
      <c r="L42" s="20" t="s">
        <v>35</v>
      </c>
      <c r="M42" s="20" t="s">
        <v>35</v>
      </c>
      <c r="N42" s="20">
        <v>-6.31</v>
      </c>
      <c r="O42" s="20">
        <v>-5.65</v>
      </c>
      <c r="P42" s="20">
        <v>13.87</v>
      </c>
      <c r="Q42" s="20">
        <v>11.65</v>
      </c>
      <c r="R42" s="20" t="s">
        <v>35</v>
      </c>
      <c r="S42" s="20" t="s">
        <v>35</v>
      </c>
      <c r="T42" s="20">
        <v>5.25</v>
      </c>
      <c r="U42" s="20">
        <v>12.83</v>
      </c>
    </row>
    <row r="43" spans="1:21" x14ac:dyDescent="0.25">
      <c r="A43" s="20" t="s">
        <v>55</v>
      </c>
      <c r="B43" s="20" t="str">
        <f t="shared" si="0"/>
        <v>1984</v>
      </c>
      <c r="C43" s="22">
        <v>754875449</v>
      </c>
      <c r="D43" s="20">
        <v>2.88</v>
      </c>
      <c r="E43" s="20">
        <v>10.65</v>
      </c>
      <c r="F43" s="20">
        <v>7.44</v>
      </c>
      <c r="G43" s="20">
        <v>14.99</v>
      </c>
      <c r="H43" s="20">
        <v>1.67</v>
      </c>
      <c r="I43" s="20">
        <v>13.58</v>
      </c>
      <c r="J43" s="20">
        <v>132.18</v>
      </c>
      <c r="K43" s="20">
        <v>481.3</v>
      </c>
      <c r="L43" s="20" t="s">
        <v>35</v>
      </c>
      <c r="M43" s="20" t="s">
        <v>35</v>
      </c>
      <c r="N43" s="20">
        <v>7.3</v>
      </c>
      <c r="O43" s="20">
        <v>20.6</v>
      </c>
      <c r="P43" s="20">
        <v>-14.33</v>
      </c>
      <c r="Q43" s="20">
        <v>10.23</v>
      </c>
      <c r="R43" s="20" t="s">
        <v>35</v>
      </c>
      <c r="S43" s="20" t="s">
        <v>35</v>
      </c>
      <c r="T43" s="20">
        <v>3.82</v>
      </c>
      <c r="U43" s="20">
        <v>12.05</v>
      </c>
    </row>
    <row r="44" spans="1:21" x14ac:dyDescent="0.25">
      <c r="A44" s="20" t="s">
        <v>56</v>
      </c>
      <c r="B44" s="20" t="str">
        <f t="shared" si="0"/>
        <v>1983</v>
      </c>
      <c r="C44" s="22">
        <v>737372681</v>
      </c>
      <c r="D44" s="20">
        <v>7.76</v>
      </c>
      <c r="E44" s="20">
        <v>17.079999999999998</v>
      </c>
      <c r="F44" s="20">
        <v>4.47</v>
      </c>
      <c r="G44" s="20">
        <v>15.53</v>
      </c>
      <c r="H44" s="20">
        <v>7.33</v>
      </c>
      <c r="I44" s="20">
        <v>14</v>
      </c>
      <c r="J44" s="20">
        <v>-58.1</v>
      </c>
      <c r="K44" s="20">
        <v>-86.7</v>
      </c>
      <c r="L44" s="20" t="s">
        <v>35</v>
      </c>
      <c r="M44" s="20" t="s">
        <v>35</v>
      </c>
      <c r="N44" s="20">
        <v>-0.91</v>
      </c>
      <c r="O44" s="20">
        <v>13.63</v>
      </c>
      <c r="P44" s="20">
        <v>21.98</v>
      </c>
      <c r="Q44" s="20">
        <v>12.32</v>
      </c>
      <c r="R44" s="20" t="s">
        <v>35</v>
      </c>
      <c r="S44" s="20" t="s">
        <v>35</v>
      </c>
      <c r="T44" s="20">
        <v>7.29</v>
      </c>
      <c r="U44" s="20">
        <v>16.47</v>
      </c>
    </row>
    <row r="45" spans="1:21" x14ac:dyDescent="0.25">
      <c r="A45" s="20" t="s">
        <v>57</v>
      </c>
      <c r="B45" s="20" t="str">
        <f t="shared" si="0"/>
        <v>1982</v>
      </c>
      <c r="C45" s="22">
        <v>720313473</v>
      </c>
      <c r="D45" s="20">
        <v>1</v>
      </c>
      <c r="E45" s="20">
        <v>10.39</v>
      </c>
      <c r="F45" s="20">
        <v>9.6199999999999992</v>
      </c>
      <c r="G45" s="20">
        <v>18.2</v>
      </c>
      <c r="H45" s="20">
        <v>5.65</v>
      </c>
      <c r="I45" s="20">
        <v>18.309999999999999</v>
      </c>
      <c r="J45" s="20">
        <v>-24.3</v>
      </c>
      <c r="K45" s="20">
        <v>-19.059999999999999</v>
      </c>
      <c r="L45" s="20" t="s">
        <v>35</v>
      </c>
      <c r="M45" s="20" t="s">
        <v>35</v>
      </c>
      <c r="N45" s="20">
        <v>6.02</v>
      </c>
      <c r="O45" s="20">
        <v>12.74</v>
      </c>
      <c r="P45" s="20">
        <v>3.45</v>
      </c>
      <c r="Q45" s="20">
        <v>6.26</v>
      </c>
      <c r="R45" s="20" t="s">
        <v>35</v>
      </c>
      <c r="S45" s="20" t="s">
        <v>35</v>
      </c>
      <c r="T45" s="20">
        <v>3.48</v>
      </c>
      <c r="U45" s="20">
        <v>11.85</v>
      </c>
    </row>
    <row r="46" spans="1:21" x14ac:dyDescent="0.25">
      <c r="A46" s="20" t="s">
        <v>58</v>
      </c>
      <c r="B46" s="20" t="str">
        <f t="shared" si="0"/>
        <v>1981</v>
      </c>
      <c r="C46" s="22">
        <v>703696250</v>
      </c>
      <c r="D46" s="20">
        <v>4.3499999999999996</v>
      </c>
      <c r="E46" s="20">
        <v>14.91</v>
      </c>
      <c r="F46" s="20">
        <v>4.21</v>
      </c>
      <c r="G46" s="20">
        <v>17.170000000000002</v>
      </c>
      <c r="H46" s="20">
        <v>-0.13</v>
      </c>
      <c r="I46" s="20">
        <v>18.62</v>
      </c>
      <c r="J46" s="20">
        <v>2250.69</v>
      </c>
      <c r="K46" s="20">
        <v>-5616.67</v>
      </c>
      <c r="L46" s="20" t="s">
        <v>35</v>
      </c>
      <c r="M46" s="20" t="s">
        <v>35</v>
      </c>
      <c r="N46" s="20">
        <v>-0.82</v>
      </c>
      <c r="O46" s="20">
        <v>13.59</v>
      </c>
      <c r="P46" s="20">
        <v>10.029999999999999</v>
      </c>
      <c r="Q46" s="20">
        <v>8.92</v>
      </c>
      <c r="R46" s="20" t="s">
        <v>35</v>
      </c>
      <c r="S46" s="20" t="s">
        <v>35</v>
      </c>
      <c r="T46" s="20">
        <v>6.01</v>
      </c>
      <c r="U46" s="20">
        <v>17.48</v>
      </c>
    </row>
    <row r="47" spans="1:21" x14ac:dyDescent="0.25">
      <c r="A47" s="20" t="s">
        <v>59</v>
      </c>
      <c r="B47" s="20" t="str">
        <f t="shared" si="0"/>
        <v>1980</v>
      </c>
      <c r="C47" s="22">
        <v>687354025</v>
      </c>
      <c r="D47" s="20">
        <v>9</v>
      </c>
      <c r="E47" s="20">
        <v>22.24</v>
      </c>
      <c r="F47" s="20">
        <v>4.6399999999999997</v>
      </c>
      <c r="G47" s="20">
        <v>16.100000000000001</v>
      </c>
      <c r="H47" s="20">
        <v>2.38</v>
      </c>
      <c r="I47" s="20">
        <v>15.05</v>
      </c>
      <c r="J47" s="20">
        <v>-93.54</v>
      </c>
      <c r="K47" s="20">
        <v>-104.45</v>
      </c>
      <c r="L47" s="20" t="s">
        <v>35</v>
      </c>
      <c r="M47" s="20" t="s">
        <v>35</v>
      </c>
      <c r="N47" s="20">
        <v>5.24</v>
      </c>
      <c r="O47" s="20">
        <v>8.26</v>
      </c>
      <c r="P47" s="20">
        <v>14.35</v>
      </c>
      <c r="Q47" s="20">
        <v>34.69</v>
      </c>
      <c r="R47" s="20" t="s">
        <v>35</v>
      </c>
      <c r="S47" s="20" t="s">
        <v>35</v>
      </c>
      <c r="T47" s="20">
        <v>6.74</v>
      </c>
      <c r="U47" s="20">
        <v>19.02</v>
      </c>
    </row>
    <row r="48" spans="1:21" x14ac:dyDescent="0.25">
      <c r="A48" s="20" t="s">
        <v>60</v>
      </c>
      <c r="B48" s="20" t="str">
        <f t="shared" si="0"/>
        <v>1979</v>
      </c>
      <c r="C48" s="22">
        <v>671155747</v>
      </c>
      <c r="D48" s="20">
        <v>-2.2400000000000002</v>
      </c>
      <c r="E48" s="20">
        <v>8.59</v>
      </c>
      <c r="F48" s="20">
        <v>6.26</v>
      </c>
      <c r="G48" s="20">
        <v>14.95</v>
      </c>
      <c r="H48" s="20">
        <v>-0.06</v>
      </c>
      <c r="I48" s="20">
        <v>15.1</v>
      </c>
      <c r="J48" s="20">
        <v>-28.62</v>
      </c>
      <c r="K48" s="20">
        <v>9.09</v>
      </c>
      <c r="L48" s="20" t="s">
        <v>35</v>
      </c>
      <c r="M48" s="20" t="s">
        <v>35</v>
      </c>
      <c r="N48" s="20">
        <v>11.15</v>
      </c>
      <c r="O48" s="20">
        <v>17.22</v>
      </c>
      <c r="P48" s="20">
        <v>19.32</v>
      </c>
      <c r="Q48" s="20">
        <v>35.979999999999997</v>
      </c>
      <c r="R48" s="20" t="s">
        <v>35</v>
      </c>
      <c r="S48" s="20" t="s">
        <v>35</v>
      </c>
      <c r="T48" s="20">
        <v>-5.24</v>
      </c>
      <c r="U48" s="20">
        <v>9.67</v>
      </c>
    </row>
    <row r="49" spans="1:21" x14ac:dyDescent="0.25">
      <c r="A49" s="20" t="s">
        <v>61</v>
      </c>
      <c r="B49" s="20" t="str">
        <f t="shared" si="0"/>
        <v>1978</v>
      </c>
      <c r="C49" s="22">
        <v>655728229</v>
      </c>
      <c r="D49" s="20">
        <v>6.11</v>
      </c>
      <c r="E49" s="20">
        <v>8.76</v>
      </c>
      <c r="F49" s="20">
        <v>7.4</v>
      </c>
      <c r="G49" s="20">
        <v>11.02</v>
      </c>
      <c r="H49" s="20">
        <v>5.17</v>
      </c>
      <c r="I49" s="20">
        <v>11.79</v>
      </c>
      <c r="J49" s="20">
        <v>93.21</v>
      </c>
      <c r="K49" s="20">
        <v>53.08</v>
      </c>
      <c r="L49" s="20" t="s">
        <v>35</v>
      </c>
      <c r="M49" s="20" t="s">
        <v>35</v>
      </c>
      <c r="N49" s="20">
        <v>7.8</v>
      </c>
      <c r="O49" s="20">
        <v>7.15</v>
      </c>
      <c r="P49" s="20">
        <v>0.05</v>
      </c>
      <c r="Q49" s="20">
        <v>13.9</v>
      </c>
      <c r="R49" s="20" t="s">
        <v>35</v>
      </c>
      <c r="S49" s="20" t="s">
        <v>35</v>
      </c>
      <c r="T49" s="20">
        <v>5.71</v>
      </c>
      <c r="U49" s="20">
        <v>8.31</v>
      </c>
    </row>
    <row r="50" spans="1:21" x14ac:dyDescent="0.25">
      <c r="A50" s="20" t="s">
        <v>62</v>
      </c>
      <c r="B50" s="20" t="str">
        <f t="shared" si="0"/>
        <v>1977</v>
      </c>
      <c r="C50" s="22">
        <v>640801103</v>
      </c>
      <c r="D50" s="20">
        <v>8.15</v>
      </c>
      <c r="E50" s="20">
        <v>15.15</v>
      </c>
      <c r="F50" s="20">
        <v>3.42</v>
      </c>
      <c r="G50" s="20">
        <v>6.7</v>
      </c>
      <c r="H50" s="20">
        <v>13.52</v>
      </c>
      <c r="I50" s="20">
        <v>15.15</v>
      </c>
      <c r="J50" s="20">
        <v>48.02</v>
      </c>
      <c r="K50" s="20">
        <v>180.77</v>
      </c>
      <c r="L50" s="20" t="s">
        <v>35</v>
      </c>
      <c r="M50" s="20" t="s">
        <v>35</v>
      </c>
      <c r="N50" s="20">
        <v>-3.57</v>
      </c>
      <c r="O50" s="20">
        <v>8.16</v>
      </c>
      <c r="P50" s="20">
        <v>27.4</v>
      </c>
      <c r="Q50" s="20">
        <v>16.079999999999998</v>
      </c>
      <c r="R50" s="20" t="s">
        <v>35</v>
      </c>
      <c r="S50" s="20" t="s">
        <v>35</v>
      </c>
      <c r="T50" s="20">
        <v>7.25</v>
      </c>
      <c r="U50" s="20">
        <v>13.3</v>
      </c>
    </row>
    <row r="51" spans="1:21" x14ac:dyDescent="0.25">
      <c r="A51" s="20" t="s">
        <v>63</v>
      </c>
      <c r="B51" s="20" t="str">
        <f t="shared" si="0"/>
        <v>1976</v>
      </c>
      <c r="C51" s="22">
        <v>625861883</v>
      </c>
      <c r="D51" s="20">
        <v>1.99</v>
      </c>
      <c r="E51" s="20">
        <v>3.97</v>
      </c>
      <c r="F51" s="20">
        <v>7.49</v>
      </c>
      <c r="G51" s="20">
        <v>11.06</v>
      </c>
      <c r="H51" s="20">
        <v>10.93</v>
      </c>
      <c r="I51" s="20">
        <v>12.45</v>
      </c>
      <c r="J51" s="20">
        <v>250.61</v>
      </c>
      <c r="K51" s="20">
        <v>-45.24</v>
      </c>
      <c r="L51" s="20" t="s">
        <v>35</v>
      </c>
      <c r="M51" s="20" t="s">
        <v>35</v>
      </c>
      <c r="N51" s="20">
        <v>19.82</v>
      </c>
      <c r="O51" s="20">
        <v>27.58</v>
      </c>
      <c r="P51" s="20">
        <v>1.9</v>
      </c>
      <c r="Q51" s="20">
        <v>-0.88</v>
      </c>
      <c r="R51" s="20" t="s">
        <v>35</v>
      </c>
      <c r="S51" s="20" t="s">
        <v>35</v>
      </c>
      <c r="T51" s="20">
        <v>1.66</v>
      </c>
      <c r="U51" s="20">
        <v>7.74</v>
      </c>
    </row>
    <row r="52" spans="1:21" x14ac:dyDescent="0.25">
      <c r="A52" s="20" t="s">
        <v>64</v>
      </c>
      <c r="B52" s="20" t="str">
        <f t="shared" si="0"/>
        <v>1975</v>
      </c>
      <c r="C52" s="22">
        <v>611309535</v>
      </c>
      <c r="D52" s="20">
        <v>5.68</v>
      </c>
      <c r="E52" s="20">
        <v>2.27</v>
      </c>
      <c r="F52" s="20">
        <v>9.66</v>
      </c>
      <c r="G52" s="20">
        <v>17.87</v>
      </c>
      <c r="H52" s="20">
        <v>-1.79</v>
      </c>
      <c r="I52" s="20">
        <v>14.53</v>
      </c>
      <c r="J52" s="20">
        <v>-85.4</v>
      </c>
      <c r="K52" s="20">
        <v>-66.739999999999995</v>
      </c>
      <c r="L52" s="20" t="s">
        <v>35</v>
      </c>
      <c r="M52" s="20" t="s">
        <v>35</v>
      </c>
      <c r="N52" s="20">
        <v>16.45</v>
      </c>
      <c r="O52" s="20">
        <v>25.48</v>
      </c>
      <c r="P52" s="20">
        <v>1.28</v>
      </c>
      <c r="Q52" s="20">
        <v>18.52</v>
      </c>
      <c r="R52" s="20" t="s">
        <v>35</v>
      </c>
      <c r="S52" s="20" t="s">
        <v>35</v>
      </c>
      <c r="T52" s="20">
        <v>9.15</v>
      </c>
      <c r="U52" s="20">
        <v>7.35</v>
      </c>
    </row>
    <row r="53" spans="1:21" x14ac:dyDescent="0.25">
      <c r="A53" s="20" t="s">
        <v>65</v>
      </c>
      <c r="B53" s="20" t="str">
        <f t="shared" si="0"/>
        <v>1974</v>
      </c>
      <c r="C53" s="22">
        <v>597041391</v>
      </c>
      <c r="D53" s="20">
        <v>-0.08</v>
      </c>
      <c r="E53" s="20">
        <v>21.16</v>
      </c>
      <c r="F53" s="20">
        <v>-3.74</v>
      </c>
      <c r="G53" s="20">
        <v>21.33</v>
      </c>
      <c r="H53" s="20">
        <v>3.85</v>
      </c>
      <c r="I53" s="20">
        <v>23.22</v>
      </c>
      <c r="J53" s="20">
        <v>26.01</v>
      </c>
      <c r="K53" s="20">
        <v>149.63</v>
      </c>
      <c r="L53" s="20" t="s">
        <v>35</v>
      </c>
      <c r="M53" s="20" t="s">
        <v>35</v>
      </c>
      <c r="N53" s="20">
        <v>8.1999999999999993</v>
      </c>
      <c r="O53" s="20">
        <v>35.51</v>
      </c>
      <c r="P53" s="20">
        <v>-12.76</v>
      </c>
      <c r="Q53" s="20">
        <v>50.47</v>
      </c>
      <c r="R53" s="20" t="s">
        <v>35</v>
      </c>
      <c r="S53" s="20" t="s">
        <v>35</v>
      </c>
      <c r="T53" s="20">
        <v>1.19</v>
      </c>
      <c r="U53" s="20">
        <v>18.05</v>
      </c>
    </row>
    <row r="54" spans="1:21" x14ac:dyDescent="0.25">
      <c r="A54" s="20" t="s">
        <v>66</v>
      </c>
      <c r="B54" s="20" t="str">
        <f t="shared" si="0"/>
        <v>1973</v>
      </c>
      <c r="C54" s="22">
        <v>583465598</v>
      </c>
      <c r="D54" s="20">
        <v>2.4500000000000002</v>
      </c>
      <c r="E54" s="20">
        <v>20.55</v>
      </c>
      <c r="F54" s="20">
        <v>-0.14000000000000001</v>
      </c>
      <c r="G54" s="20">
        <v>9.6300000000000008</v>
      </c>
      <c r="H54" s="20">
        <v>-2.64</v>
      </c>
      <c r="I54" s="20">
        <v>13.54</v>
      </c>
      <c r="J54" s="20">
        <v>263.76</v>
      </c>
      <c r="K54" s="20">
        <v>36.22</v>
      </c>
      <c r="L54" s="20" t="s">
        <v>35</v>
      </c>
      <c r="M54" s="20" t="s">
        <v>35</v>
      </c>
      <c r="N54" s="20">
        <v>4.96</v>
      </c>
      <c r="O54" s="20">
        <v>27.19</v>
      </c>
      <c r="P54" s="20">
        <v>8.08</v>
      </c>
      <c r="Q54" s="20">
        <v>55</v>
      </c>
      <c r="R54" s="20" t="s">
        <v>35</v>
      </c>
      <c r="S54" s="20" t="s">
        <v>35</v>
      </c>
      <c r="T54" s="20">
        <v>3.3</v>
      </c>
      <c r="U54" s="20">
        <v>21.71</v>
      </c>
    </row>
    <row r="55" spans="1:21" x14ac:dyDescent="0.25">
      <c r="A55" s="20" t="s">
        <v>67</v>
      </c>
      <c r="B55" s="20" t="str">
        <f t="shared" si="0"/>
        <v>1972</v>
      </c>
      <c r="C55" s="22">
        <v>570482142</v>
      </c>
      <c r="D55" s="20">
        <v>0.67</v>
      </c>
      <c r="E55" s="20">
        <v>10.220000000000001</v>
      </c>
      <c r="F55" s="20">
        <v>0.96</v>
      </c>
      <c r="G55" s="20">
        <v>6.36</v>
      </c>
      <c r="H55" s="20">
        <v>4.3</v>
      </c>
      <c r="I55" s="20">
        <v>13.33</v>
      </c>
      <c r="J55" s="20">
        <v>-71.69</v>
      </c>
      <c r="K55" s="20">
        <v>5.09</v>
      </c>
      <c r="L55" s="20" t="s">
        <v>35</v>
      </c>
      <c r="M55" s="20" t="s">
        <v>35</v>
      </c>
      <c r="N55" s="20">
        <v>8.24</v>
      </c>
      <c r="O55" s="20">
        <v>21.06</v>
      </c>
      <c r="P55" s="20">
        <v>-1.89</v>
      </c>
      <c r="Q55" s="20">
        <v>2.14</v>
      </c>
      <c r="R55" s="20" t="s">
        <v>35</v>
      </c>
      <c r="S55" s="20" t="s">
        <v>35</v>
      </c>
      <c r="T55" s="20">
        <v>-0.55000000000000004</v>
      </c>
      <c r="U55" s="20">
        <v>10.23</v>
      </c>
    </row>
    <row r="56" spans="1:21" x14ac:dyDescent="0.25">
      <c r="A56" s="20" t="s">
        <v>68</v>
      </c>
      <c r="B56" s="20" t="str">
        <f t="shared" si="0"/>
        <v>1971</v>
      </c>
      <c r="C56" s="22">
        <v>558096387</v>
      </c>
      <c r="D56" s="20">
        <v>1.95</v>
      </c>
      <c r="E56" s="20">
        <v>7.85</v>
      </c>
      <c r="F56" s="20">
        <v>9.8000000000000007</v>
      </c>
      <c r="G56" s="20">
        <v>15.75</v>
      </c>
      <c r="H56" s="20">
        <v>10.4</v>
      </c>
      <c r="I56" s="20">
        <v>14.29</v>
      </c>
      <c r="J56" s="20">
        <v>32.729999999999997</v>
      </c>
      <c r="K56" s="20">
        <v>4.76</v>
      </c>
      <c r="L56" s="20" t="s">
        <v>35</v>
      </c>
      <c r="M56" s="20" t="s">
        <v>35</v>
      </c>
      <c r="N56" s="20">
        <v>1.05</v>
      </c>
      <c r="O56" s="20">
        <v>3.78</v>
      </c>
      <c r="P56" s="20">
        <v>18.03</v>
      </c>
      <c r="Q56" s="20">
        <v>10.46</v>
      </c>
      <c r="R56" s="20" t="s">
        <v>35</v>
      </c>
      <c r="S56" s="20" t="s">
        <v>35</v>
      </c>
      <c r="T56" s="20">
        <v>1.64</v>
      </c>
      <c r="U56" s="20">
        <v>7.06</v>
      </c>
    </row>
    <row r="57" spans="1:21" x14ac:dyDescent="0.25">
      <c r="A57" s="20" t="s">
        <v>69</v>
      </c>
      <c r="B57" s="20" t="str">
        <f t="shared" si="0"/>
        <v>1970</v>
      </c>
      <c r="C57" s="22">
        <v>545864268</v>
      </c>
      <c r="D57" s="20">
        <v>3.4</v>
      </c>
      <c r="E57" s="20">
        <v>6.09</v>
      </c>
      <c r="F57" s="20">
        <v>9.49</v>
      </c>
      <c r="G57" s="20">
        <v>11.77</v>
      </c>
      <c r="H57" s="20">
        <v>-5.55</v>
      </c>
      <c r="I57" s="20">
        <v>2.91</v>
      </c>
      <c r="J57" s="20">
        <v>19.13</v>
      </c>
      <c r="K57" s="20">
        <v>88.42</v>
      </c>
      <c r="L57" s="20" t="s">
        <v>35</v>
      </c>
      <c r="M57" s="20" t="s">
        <v>35</v>
      </c>
      <c r="N57" s="20">
        <v>31.56</v>
      </c>
      <c r="O57" s="20">
        <v>8.7799999999999994</v>
      </c>
      <c r="P57" s="20">
        <v>17.91</v>
      </c>
      <c r="Q57" s="20">
        <v>2.77</v>
      </c>
      <c r="R57" s="20" t="s">
        <v>35</v>
      </c>
      <c r="S57" s="20" t="s">
        <v>35</v>
      </c>
      <c r="T57" s="20">
        <v>5.16</v>
      </c>
      <c r="U57" s="20">
        <v>6.8</v>
      </c>
    </row>
    <row r="58" spans="1:21" x14ac:dyDescent="0.25">
      <c r="A58" s="20" t="s">
        <v>70</v>
      </c>
      <c r="B58" s="20" t="str">
        <f t="shared" si="0"/>
        <v>1969</v>
      </c>
      <c r="C58" s="22">
        <v>533880544</v>
      </c>
      <c r="D58" s="20">
        <v>3.71</v>
      </c>
      <c r="E58" s="20">
        <v>8.17</v>
      </c>
      <c r="F58" s="20">
        <v>9.4499999999999993</v>
      </c>
      <c r="G58" s="20">
        <v>12.09</v>
      </c>
      <c r="H58" s="20">
        <v>7.0000000000000007E-2</v>
      </c>
      <c r="I58" s="20">
        <v>9.5299999999999994</v>
      </c>
      <c r="J58" s="20">
        <v>404.86</v>
      </c>
      <c r="K58" s="20">
        <v>8.86</v>
      </c>
      <c r="L58" s="20" t="s">
        <v>35</v>
      </c>
      <c r="M58" s="20" t="s">
        <v>35</v>
      </c>
      <c r="N58" s="20">
        <v>-1.94</v>
      </c>
      <c r="O58" s="20">
        <v>1.24</v>
      </c>
      <c r="P58" s="20">
        <v>-13.04</v>
      </c>
      <c r="Q58" s="20">
        <v>-10.210000000000001</v>
      </c>
      <c r="R58" s="20" t="s">
        <v>35</v>
      </c>
      <c r="S58" s="20" t="s">
        <v>35</v>
      </c>
      <c r="T58" s="20">
        <v>6.54</v>
      </c>
      <c r="U58" s="20">
        <v>10.1</v>
      </c>
    </row>
    <row r="59" spans="1:21" x14ac:dyDescent="0.25">
      <c r="A59" s="20" t="s">
        <v>71</v>
      </c>
      <c r="B59" s="20" t="str">
        <f t="shared" si="0"/>
        <v>1968</v>
      </c>
      <c r="C59" s="22">
        <v>522716889</v>
      </c>
      <c r="D59" s="20">
        <v>2.63</v>
      </c>
      <c r="E59" s="20">
        <v>0.05</v>
      </c>
      <c r="F59" s="20">
        <v>5.25</v>
      </c>
      <c r="G59" s="20">
        <v>9.5</v>
      </c>
      <c r="H59" s="20">
        <v>5.34</v>
      </c>
      <c r="I59" s="20">
        <v>6.81</v>
      </c>
      <c r="J59" s="20">
        <v>-74.33</v>
      </c>
      <c r="K59" s="20">
        <v>-23.71</v>
      </c>
      <c r="L59" s="20" t="s">
        <v>35</v>
      </c>
      <c r="M59" s="20" t="s">
        <v>35</v>
      </c>
      <c r="N59" s="20">
        <v>3.14</v>
      </c>
      <c r="O59" s="20">
        <v>6</v>
      </c>
      <c r="P59" s="20">
        <v>-14.36</v>
      </c>
      <c r="Q59" s="20">
        <v>-11.99</v>
      </c>
      <c r="R59" s="20" t="s">
        <v>35</v>
      </c>
      <c r="S59" s="20" t="s">
        <v>35</v>
      </c>
      <c r="T59" s="20">
        <v>3.39</v>
      </c>
      <c r="U59" s="20">
        <v>5.89</v>
      </c>
    </row>
    <row r="60" spans="1:21" x14ac:dyDescent="0.25">
      <c r="A60" s="20" t="s">
        <v>72</v>
      </c>
      <c r="B60" s="20" t="str">
        <f t="shared" si="0"/>
        <v>1967</v>
      </c>
      <c r="C60" s="22">
        <v>511606372</v>
      </c>
      <c r="D60" s="20">
        <v>5.66</v>
      </c>
      <c r="E60" s="20">
        <v>19.170000000000002</v>
      </c>
      <c r="F60" s="20">
        <v>2.7</v>
      </c>
      <c r="G60" s="20">
        <v>11.81</v>
      </c>
      <c r="H60" s="20">
        <v>6.46</v>
      </c>
      <c r="I60" s="20">
        <v>12.47</v>
      </c>
      <c r="J60" s="20">
        <v>-15.57</v>
      </c>
      <c r="K60" s="20">
        <v>53.34</v>
      </c>
      <c r="L60" s="20" t="s">
        <v>35</v>
      </c>
      <c r="M60" s="20" t="s">
        <v>35</v>
      </c>
      <c r="N60" s="20">
        <v>4.96</v>
      </c>
      <c r="O60" s="20">
        <v>14.06</v>
      </c>
      <c r="P60" s="20">
        <v>-3.94</v>
      </c>
      <c r="Q60" s="20">
        <v>4.3899999999999997</v>
      </c>
      <c r="R60" s="20" t="s">
        <v>35</v>
      </c>
      <c r="S60" s="20" t="s">
        <v>35</v>
      </c>
      <c r="T60" s="20">
        <v>7.83</v>
      </c>
      <c r="U60" s="20">
        <v>17.12</v>
      </c>
    </row>
    <row r="61" spans="1:21" x14ac:dyDescent="0.25">
      <c r="A61" s="20" t="s">
        <v>73</v>
      </c>
      <c r="B61" s="20" t="str">
        <f t="shared" si="0"/>
        <v>1966</v>
      </c>
      <c r="C61" s="22">
        <v>500740247</v>
      </c>
      <c r="D61" s="20">
        <v>1.3</v>
      </c>
      <c r="E61" s="20">
        <v>16.46</v>
      </c>
      <c r="F61" s="20">
        <v>1.72</v>
      </c>
      <c r="G61" s="20">
        <v>9.59</v>
      </c>
      <c r="H61" s="20">
        <v>1.42</v>
      </c>
      <c r="I61" s="20">
        <v>10.64</v>
      </c>
      <c r="J61" s="20">
        <v>41.04</v>
      </c>
      <c r="K61" s="20">
        <v>-37.33</v>
      </c>
      <c r="L61" s="20" t="s">
        <v>35</v>
      </c>
      <c r="M61" s="20" t="s">
        <v>35</v>
      </c>
      <c r="N61" s="20">
        <v>25.84</v>
      </c>
      <c r="O61" s="20">
        <v>41.79</v>
      </c>
      <c r="P61" s="20">
        <v>28.62</v>
      </c>
      <c r="Q61" s="20">
        <v>44.93</v>
      </c>
      <c r="R61" s="20" t="s">
        <v>35</v>
      </c>
      <c r="S61" s="20" t="s">
        <v>35</v>
      </c>
      <c r="T61" s="20">
        <v>-0.06</v>
      </c>
      <c r="U61" s="20">
        <v>13.21</v>
      </c>
    </row>
    <row r="62" spans="1:21" x14ac:dyDescent="0.25">
      <c r="A62" s="20" t="s">
        <v>74</v>
      </c>
      <c r="B62" s="20" t="str">
        <f t="shared" si="0"/>
        <v>1965</v>
      </c>
      <c r="C62" s="22">
        <v>490140146</v>
      </c>
      <c r="D62" s="20">
        <v>0.09</v>
      </c>
      <c r="E62" s="20">
        <v>5.55</v>
      </c>
      <c r="F62" s="20">
        <v>9.69</v>
      </c>
      <c r="G62" s="20">
        <v>15.22</v>
      </c>
      <c r="H62" s="20">
        <v>3.21</v>
      </c>
      <c r="I62" s="20">
        <v>10.84</v>
      </c>
      <c r="J62" s="20">
        <v>-24.5</v>
      </c>
      <c r="K62" s="20">
        <v>-4.5199999999999996</v>
      </c>
      <c r="L62" s="20" t="s">
        <v>35</v>
      </c>
      <c r="M62" s="20" t="s">
        <v>35</v>
      </c>
      <c r="N62" s="20">
        <v>-13.86</v>
      </c>
      <c r="O62" s="20">
        <v>-6.39</v>
      </c>
      <c r="P62" s="20">
        <v>-11.06</v>
      </c>
      <c r="Q62" s="20">
        <v>-3.34</v>
      </c>
      <c r="R62" s="20" t="s">
        <v>35</v>
      </c>
      <c r="S62" s="20" t="s">
        <v>35</v>
      </c>
      <c r="T62" s="20">
        <v>-2.64</v>
      </c>
      <c r="U62" s="20">
        <v>5.45</v>
      </c>
    </row>
    <row r="63" spans="1:21" x14ac:dyDescent="0.25">
      <c r="A63" s="20" t="s">
        <v>75</v>
      </c>
      <c r="B63" s="20" t="str">
        <f t="shared" si="0"/>
        <v>1964</v>
      </c>
      <c r="C63" s="22">
        <v>479229598</v>
      </c>
      <c r="D63" s="20">
        <v>5.97</v>
      </c>
      <c r="E63" s="20">
        <v>17.72</v>
      </c>
      <c r="F63" s="20">
        <v>4.47</v>
      </c>
      <c r="G63" s="20">
        <v>7.76</v>
      </c>
      <c r="H63" s="20">
        <v>7.71</v>
      </c>
      <c r="I63" s="20">
        <v>16.23</v>
      </c>
      <c r="J63" s="20">
        <v>68.959999999999994</v>
      </c>
      <c r="K63" s="20">
        <v>42.71</v>
      </c>
      <c r="L63" s="20" t="s">
        <v>35</v>
      </c>
      <c r="M63" s="20" t="s">
        <v>35</v>
      </c>
      <c r="N63" s="20">
        <v>-6.51</v>
      </c>
      <c r="O63" s="20">
        <v>1.52</v>
      </c>
      <c r="P63" s="20">
        <v>3.38</v>
      </c>
      <c r="Q63" s="20">
        <v>12.26</v>
      </c>
      <c r="R63" s="20" t="s">
        <v>35</v>
      </c>
      <c r="S63" s="20" t="s">
        <v>35</v>
      </c>
      <c r="T63" s="20">
        <v>7.45</v>
      </c>
      <c r="U63" s="20">
        <v>16.64</v>
      </c>
    </row>
    <row r="64" spans="1:21" x14ac:dyDescent="0.25">
      <c r="A64" s="20" t="s">
        <v>76</v>
      </c>
      <c r="B64" s="20" t="str">
        <f t="shared" si="0"/>
        <v>1963</v>
      </c>
      <c r="C64" s="22">
        <v>468138575</v>
      </c>
      <c r="D64" s="20">
        <v>3.72</v>
      </c>
      <c r="E64" s="20">
        <v>11.02</v>
      </c>
      <c r="F64" s="20">
        <v>22.88</v>
      </c>
      <c r="G64" s="20">
        <v>28.51</v>
      </c>
      <c r="H64" s="20">
        <v>11.65</v>
      </c>
      <c r="I64" s="20">
        <v>17.57</v>
      </c>
      <c r="J64" s="20">
        <v>-18.37</v>
      </c>
      <c r="K64" s="20">
        <v>42.2</v>
      </c>
      <c r="L64" s="20" t="s">
        <v>35</v>
      </c>
      <c r="M64" s="20" t="s">
        <v>35</v>
      </c>
      <c r="N64" s="20">
        <v>8.4</v>
      </c>
      <c r="O64" s="20">
        <v>17.920000000000002</v>
      </c>
      <c r="P64" s="20">
        <v>3.39</v>
      </c>
      <c r="Q64" s="20">
        <v>12.47</v>
      </c>
      <c r="R64" s="20" t="s">
        <v>35</v>
      </c>
      <c r="S64" s="20" t="s">
        <v>35</v>
      </c>
      <c r="T64" s="20">
        <v>5.99</v>
      </c>
      <c r="U64" s="20">
        <v>14.85</v>
      </c>
    </row>
    <row r="65" spans="1:21" x14ac:dyDescent="0.25">
      <c r="A65" s="20" t="s">
        <v>77</v>
      </c>
      <c r="B65" s="20" t="str">
        <f t="shared" si="0"/>
        <v>1962</v>
      </c>
      <c r="C65" s="22">
        <v>457283090</v>
      </c>
      <c r="D65" s="20">
        <v>1.3</v>
      </c>
      <c r="E65" s="20">
        <v>5.32</v>
      </c>
      <c r="F65" s="20">
        <v>20.66</v>
      </c>
      <c r="G65" s="20">
        <v>21.26</v>
      </c>
      <c r="H65" s="20">
        <v>6.57</v>
      </c>
      <c r="I65" s="20">
        <v>8.9</v>
      </c>
      <c r="J65" s="20">
        <v>-13.37</v>
      </c>
      <c r="K65" s="20">
        <v>-34.369999999999997</v>
      </c>
      <c r="L65" s="20" t="s">
        <v>35</v>
      </c>
      <c r="M65" s="20" t="s">
        <v>35</v>
      </c>
      <c r="N65" s="20">
        <v>-0.57999999999999996</v>
      </c>
      <c r="O65" s="20">
        <v>4.0999999999999996</v>
      </c>
      <c r="P65" s="20">
        <v>3.91</v>
      </c>
      <c r="Q65" s="20">
        <v>8.81</v>
      </c>
      <c r="R65" s="20" t="s">
        <v>35</v>
      </c>
      <c r="S65" s="20" t="s">
        <v>35</v>
      </c>
      <c r="T65" s="20">
        <v>2.93</v>
      </c>
      <c r="U65" s="20">
        <v>7.47</v>
      </c>
    </row>
    <row r="66" spans="1:21" x14ac:dyDescent="0.25">
      <c r="A66" s="20" t="s">
        <v>78</v>
      </c>
      <c r="B66" s="20" t="str">
        <f t="shared" si="0"/>
        <v>1961</v>
      </c>
      <c r="C66" s="22">
        <v>446564729</v>
      </c>
      <c r="D66" s="20">
        <v>1.7</v>
      </c>
      <c r="E66" s="20">
        <v>4.57</v>
      </c>
      <c r="F66" s="20">
        <v>7.62</v>
      </c>
      <c r="G66" s="20">
        <v>11.12</v>
      </c>
      <c r="H66" s="20">
        <v>13.23</v>
      </c>
      <c r="I66" s="20">
        <v>15.48</v>
      </c>
      <c r="J66" s="20">
        <v>-15.07</v>
      </c>
      <c r="K66" s="20">
        <v>6.89</v>
      </c>
      <c r="L66" s="20" t="s">
        <v>35</v>
      </c>
      <c r="M66" s="20" t="s">
        <v>35</v>
      </c>
      <c r="N66" s="20">
        <v>-0.19</v>
      </c>
      <c r="O66" s="20">
        <v>2.16</v>
      </c>
      <c r="P66" s="20">
        <v>-9.76</v>
      </c>
      <c r="Q66" s="20">
        <v>-7.63</v>
      </c>
      <c r="R66" s="20" t="s">
        <v>35</v>
      </c>
      <c r="S66" s="20" t="s">
        <v>35</v>
      </c>
      <c r="T66" s="20">
        <v>3.72</v>
      </c>
      <c r="U66" s="20">
        <v>5.95</v>
      </c>
    </row>
    <row r="67" spans="1:21" x14ac:dyDescent="0.25">
      <c r="A67" s="20" t="s">
        <v>79</v>
      </c>
      <c r="B67" s="20" t="str">
        <f t="shared" ref="B67:B76" si="1">LEFT(A67,4)</f>
        <v>1960</v>
      </c>
      <c r="C67" s="22">
        <v>435990338</v>
      </c>
      <c r="D67" s="20">
        <v>5.69</v>
      </c>
      <c r="E67" s="20">
        <v>8.06</v>
      </c>
      <c r="F67" s="20">
        <v>5.4</v>
      </c>
      <c r="G67" s="20">
        <v>9.11</v>
      </c>
      <c r="H67" s="20">
        <v>6.66</v>
      </c>
      <c r="I67" s="20">
        <v>13.59</v>
      </c>
      <c r="J67" s="20">
        <v>36.83</v>
      </c>
      <c r="K67" s="20">
        <v>147.81</v>
      </c>
      <c r="L67" s="20" t="s">
        <v>35</v>
      </c>
      <c r="M67" s="20" t="s">
        <v>35</v>
      </c>
      <c r="N67" s="20">
        <v>-1.18</v>
      </c>
      <c r="O67" s="20">
        <v>1.03</v>
      </c>
      <c r="P67" s="20">
        <v>16.7</v>
      </c>
      <c r="Q67" s="20">
        <v>19.309999999999999</v>
      </c>
      <c r="R67" s="20" t="s">
        <v>35</v>
      </c>
      <c r="S67" s="20" t="s">
        <v>35</v>
      </c>
      <c r="T67" s="20">
        <v>5.5</v>
      </c>
      <c r="U67" s="20">
        <v>9.51</v>
      </c>
    </row>
    <row r="68" spans="1:21" x14ac:dyDescent="0.25">
      <c r="A68" s="24"/>
      <c r="B68" s="24"/>
      <c r="C68" s="25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</row>
    <row r="69" spans="1:21" x14ac:dyDescent="0.25">
      <c r="A69" s="24"/>
      <c r="B69" s="24"/>
      <c r="C69" s="25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</row>
    <row r="70" spans="1:21" x14ac:dyDescent="0.25">
      <c r="A70" s="24"/>
      <c r="B70" s="24"/>
      <c r="C70" s="25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</row>
    <row r="71" spans="1:21" x14ac:dyDescent="0.25">
      <c r="A71" s="24"/>
      <c r="B71" s="24"/>
      <c r="C71" s="25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</row>
    <row r="72" spans="1:21" x14ac:dyDescent="0.25">
      <c r="A72" s="24"/>
      <c r="B72" s="24"/>
      <c r="C72" s="25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</row>
    <row r="73" spans="1:21" x14ac:dyDescent="0.25">
      <c r="A73" s="24"/>
      <c r="B73" s="24"/>
      <c r="C73" s="25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</row>
    <row r="74" spans="1:21" x14ac:dyDescent="0.25">
      <c r="A74" s="24"/>
      <c r="B74" s="24"/>
      <c r="C74" s="25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</row>
    <row r="75" spans="1:21" x14ac:dyDescent="0.25">
      <c r="A75" s="24"/>
      <c r="B75" s="24"/>
      <c r="C75" s="25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</row>
    <row r="76" spans="1:21" x14ac:dyDescent="0.25">
      <c r="A76" s="24"/>
      <c r="B76" s="24"/>
      <c r="C76" s="25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</vt:lpstr>
      <vt:lpstr>Data</vt:lpstr>
      <vt:lpstr>Modifications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24030106024</dc:creator>
  <cp:lastModifiedBy>Saketh ‎</cp:lastModifiedBy>
  <dcterms:created xsi:type="dcterms:W3CDTF">2015-06-05T18:17:20Z</dcterms:created>
  <dcterms:modified xsi:type="dcterms:W3CDTF">2026-03-19T09:00:05Z</dcterms:modified>
</cp:coreProperties>
</file>